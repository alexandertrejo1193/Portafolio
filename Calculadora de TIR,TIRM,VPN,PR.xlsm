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hp14bs\Desktop\"/>
    </mc:Choice>
  </mc:AlternateContent>
  <xr:revisionPtr revIDLastSave="0" documentId="13_ncr:1_{B1521126-2663-4494-A002-641F58F480D2}" xr6:coauthVersionLast="45" xr6:coauthVersionMax="45" xr10:uidLastSave="{00000000-0000-0000-0000-000000000000}"/>
  <bookViews>
    <workbookView xWindow="-120" yWindow="-120" windowWidth="20730" windowHeight="11160" activeTab="3" xr2:uid="{78212470-147B-402F-BAE7-6169F632EE87}"/>
  </bookViews>
  <sheets>
    <sheet name="PORTADA" sheetId="4" r:id="rId1"/>
    <sheet name="Minicaso Cap.4 " sheetId="5" r:id="rId2"/>
    <sheet name="Minicaso Cap.5" sheetId="6" r:id="rId3"/>
    <sheet name="Calculadora"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55" i="5" l="1"/>
  <c r="S57" i="5"/>
  <c r="Z13" i="5" s="1"/>
  <c r="Z17" i="5" s="1"/>
  <c r="S66" i="5"/>
  <c r="AA66" i="5"/>
  <c r="S67" i="5"/>
  <c r="S73" i="5"/>
  <c r="AA67" i="5" s="1"/>
  <c r="S81" i="5"/>
  <c r="AA68" i="5" s="1"/>
  <c r="S89" i="5"/>
  <c r="R91" i="5"/>
  <c r="AA69" i="5" s="1"/>
  <c r="S97" i="5"/>
  <c r="S109" i="5"/>
  <c r="S114" i="5"/>
  <c r="R118" i="5" s="1"/>
  <c r="Z28" i="5" s="1"/>
  <c r="Z32" i="5" s="1"/>
  <c r="AD123" i="5"/>
  <c r="S127" i="5"/>
  <c r="AB129" i="5"/>
  <c r="R133" i="5"/>
  <c r="S140" i="5"/>
  <c r="AD140" i="5"/>
  <c r="S147" i="5"/>
  <c r="S149" i="5" s="1"/>
  <c r="AB151" i="5"/>
  <c r="S155" i="5"/>
  <c r="S162" i="5"/>
  <c r="AD166" i="5"/>
  <c r="S167" i="5"/>
  <c r="S172" i="5" s="1"/>
  <c r="R176" i="5" s="1"/>
  <c r="Z44" i="5" s="1"/>
  <c r="Z48" i="5" s="1"/>
  <c r="AB172" i="5"/>
  <c r="AD182" i="5"/>
  <c r="AB193" i="5"/>
  <c r="AA71" i="5" l="1"/>
  <c r="Z88" i="5" s="1"/>
  <c r="Z100" i="5" s="1"/>
  <c r="AA102" i="5" s="1"/>
  <c r="AA104" i="5" s="1"/>
</calcChain>
</file>

<file path=xl/sharedStrings.xml><?xml version="1.0" encoding="utf-8"?>
<sst xmlns="http://schemas.openxmlformats.org/spreadsheetml/2006/main" count="253" uniqueCount="102">
  <si>
    <t>Aumento</t>
  </si>
  <si>
    <t>Salario</t>
  </si>
  <si>
    <t>TRABAJO</t>
  </si>
  <si>
    <t>RCB</t>
  </si>
  <si>
    <t>BSB</t>
  </si>
  <si>
    <t>Ben 28 años</t>
  </si>
  <si>
    <t>Años para jubilación</t>
  </si>
  <si>
    <t>Tasa Tributaria</t>
  </si>
  <si>
    <t>Colegiatura</t>
  </si>
  <si>
    <t>Aumento útiles</t>
  </si>
  <si>
    <t>Bono</t>
  </si>
  <si>
    <t>Gastos médicos</t>
  </si>
  <si>
    <t>Pagados</t>
  </si>
  <si>
    <t>Pensión</t>
  </si>
  <si>
    <t>Tasa de descuento</t>
  </si>
  <si>
    <t>RESPUESTAS</t>
  </si>
  <si>
    <t>C=</t>
  </si>
  <si>
    <t>r=</t>
  </si>
  <si>
    <t>g=</t>
  </si>
  <si>
    <t>T=</t>
  </si>
  <si>
    <r>
      <t xml:space="preserve">C= </t>
    </r>
    <r>
      <rPr>
        <sz val="11"/>
        <color theme="1"/>
        <rFont val="Calibri"/>
        <family val="2"/>
        <scheme val="minor"/>
      </rPr>
      <t>Pago del primer periodo</t>
    </r>
  </si>
  <si>
    <r>
      <t xml:space="preserve">r= </t>
    </r>
    <r>
      <rPr>
        <sz val="11"/>
        <color theme="1"/>
        <rFont val="Calibri"/>
        <family val="2"/>
        <scheme val="minor"/>
      </rPr>
      <t>Tasa de interés</t>
    </r>
  </si>
  <si>
    <r>
      <t xml:space="preserve">T= </t>
    </r>
    <r>
      <rPr>
        <sz val="11"/>
        <color theme="1"/>
        <rFont val="Calibri"/>
        <family val="2"/>
        <scheme val="minor"/>
      </rPr>
      <t>Número de periodos</t>
    </r>
  </si>
  <si>
    <r>
      <t xml:space="preserve">g= </t>
    </r>
    <r>
      <rPr>
        <sz val="11"/>
        <color theme="1"/>
        <rFont val="Calibri"/>
        <family val="2"/>
        <scheme val="minor"/>
      </rPr>
      <t>Tasa de crecimiento por periodo</t>
    </r>
  </si>
  <si>
    <t>DATOS</t>
  </si>
  <si>
    <t>tc=</t>
  </si>
  <si>
    <t>Tasa tributaria</t>
  </si>
  <si>
    <t>Salario después de impuestos</t>
  </si>
  <si>
    <t>VP=</t>
  </si>
  <si>
    <t>COSTOS</t>
  </si>
  <si>
    <t>Libros y útiles</t>
  </si>
  <si>
    <t>Total 1 año</t>
  </si>
  <si>
    <t>Total 2 años</t>
  </si>
  <si>
    <r>
      <t xml:space="preserve">C= </t>
    </r>
    <r>
      <rPr>
        <sz val="11"/>
        <color theme="1"/>
        <rFont val="Calibri"/>
        <family val="2"/>
        <scheme val="minor"/>
      </rPr>
      <t>Flujo de efectivo en la fecha</t>
    </r>
  </si>
  <si>
    <r>
      <t xml:space="preserve">r= </t>
    </r>
    <r>
      <rPr>
        <sz val="11"/>
        <color theme="1"/>
        <rFont val="Calibri"/>
        <family val="2"/>
        <scheme val="minor"/>
      </rPr>
      <t>Tasa de rendimiento</t>
    </r>
  </si>
  <si>
    <r>
      <t xml:space="preserve">r= </t>
    </r>
    <r>
      <rPr>
        <sz val="11"/>
        <color theme="1"/>
        <rFont val="Calibri"/>
        <family val="2"/>
        <scheme val="minor"/>
      </rPr>
      <t>Tasa de descuento</t>
    </r>
  </si>
  <si>
    <t>Valor presente de gastos=</t>
  </si>
  <si>
    <t>BONOS POR FIRMAR</t>
  </si>
  <si>
    <t>Flujo de efectivo dentro de 2 años</t>
  </si>
  <si>
    <t>Tasa impositiva</t>
  </si>
  <si>
    <t>Bono por firmar</t>
  </si>
  <si>
    <t>Tasa de impuesto de la renta</t>
  </si>
  <si>
    <t>Bono después de impuestos</t>
  </si>
  <si>
    <t>Valor presente de gastos indirectos=</t>
  </si>
  <si>
    <t>VP Bono por firmar=</t>
  </si>
  <si>
    <t>SALARIO</t>
  </si>
  <si>
    <t>Pago del primer periodo</t>
  </si>
  <si>
    <t>Tasa de interés</t>
  </si>
  <si>
    <t xml:space="preserve">Tasa de crecimiento </t>
  </si>
  <si>
    <t>Número de periodos</t>
  </si>
  <si>
    <t>Valor presente del salario=</t>
  </si>
  <si>
    <t>Flujo de efectivo dentro de dos años</t>
  </si>
  <si>
    <t xml:space="preserve">VALOR TOTAL DE ESTUDIAR EN RITTER COLLEGE BUSINESS, WALTON U. </t>
  </si>
  <si>
    <t>VT=</t>
  </si>
  <si>
    <t>VP bono por firmar=</t>
  </si>
  <si>
    <t>4)</t>
  </si>
  <si>
    <r>
      <rPr>
        <b/>
        <sz val="11"/>
        <color theme="1"/>
        <rFont val="Calibri"/>
        <family val="2"/>
        <scheme val="minor"/>
      </rPr>
      <t>r=</t>
    </r>
    <r>
      <rPr>
        <sz val="11"/>
        <color theme="1"/>
        <rFont val="Calibri"/>
        <family val="2"/>
        <scheme val="minor"/>
      </rPr>
      <t>Tasa de interés por periodo</t>
    </r>
  </si>
  <si>
    <r>
      <rPr>
        <b/>
        <sz val="11"/>
        <color theme="1"/>
        <rFont val="Calibri"/>
        <family val="2"/>
        <scheme val="minor"/>
      </rPr>
      <t>T=</t>
    </r>
    <r>
      <rPr>
        <sz val="11"/>
        <color theme="1"/>
        <rFont val="Calibri"/>
        <family val="2"/>
        <scheme val="minor"/>
      </rPr>
      <t xml:space="preserve">Número de periodos </t>
    </r>
  </si>
  <si>
    <t>VF=</t>
  </si>
  <si>
    <t>5)</t>
  </si>
  <si>
    <t>VP de permanecer en su trabajo actual</t>
  </si>
  <si>
    <t>Valor presente</t>
  </si>
  <si>
    <t>?</t>
  </si>
  <si>
    <t>Tasa de aumento por periodo</t>
  </si>
  <si>
    <t>6)</t>
  </si>
  <si>
    <t xml:space="preserve">VP costos directos de Walton </t>
  </si>
  <si>
    <t xml:space="preserve">VP costos indirectos de Walton </t>
  </si>
  <si>
    <t xml:space="preserve">VP bono por firmas de Walton </t>
  </si>
  <si>
    <t>Tabla de amortizacion con cuota fija</t>
  </si>
  <si>
    <t>Monto del Prestamo</t>
  </si>
  <si>
    <t>Monto sin el enganche</t>
  </si>
  <si>
    <t>Enganche</t>
  </si>
  <si>
    <t>Interes</t>
  </si>
  <si>
    <t>Periodos</t>
  </si>
  <si>
    <t>cuota fija mensual</t>
  </si>
  <si>
    <t>N-periodos</t>
  </si>
  <si>
    <t xml:space="preserve">Saldo inicial </t>
  </si>
  <si>
    <t>Cuota Fija</t>
  </si>
  <si>
    <t>Abono a capital</t>
  </si>
  <si>
    <t>Saldo final</t>
  </si>
  <si>
    <t xml:space="preserve">En el caso 1 con un plazo a 5 años tendría que pagar $24,480 en intereses y en el caso 2 con el mismo plazo, $15006.75, por lo tanto </t>
  </si>
  <si>
    <t xml:space="preserve">sigue siendo más caro tomar el MBA en Walton. </t>
  </si>
  <si>
    <t>1)</t>
  </si>
  <si>
    <t>Año</t>
  </si>
  <si>
    <t xml:space="preserve">Flujos de efectivo </t>
  </si>
  <si>
    <t>INVERSIÓN</t>
  </si>
  <si>
    <t>Periodo</t>
  </si>
  <si>
    <t>Calcula TIR,TIRM,VPN,PR 
a n Periodos</t>
  </si>
  <si>
    <t>PAULINA LÓPEZ ACOSTA</t>
  </si>
  <si>
    <t>MARIANA SIERRA ROSAS</t>
  </si>
  <si>
    <t>JAVIER ALEXANDER TREJO CORTÉS</t>
  </si>
  <si>
    <t>INTEGRANTES:</t>
  </si>
  <si>
    <t>MINICASOS CAP. 4 Y CAP.5</t>
  </si>
  <si>
    <t xml:space="preserve">EQUIPO </t>
  </si>
  <si>
    <t>ADMINISTRACIÓN FINANCIERA</t>
  </si>
  <si>
    <t>VALOR TOTAL DE ESTUDIAR EN BRADLEY SCHOOL OF BUSINESS</t>
  </si>
  <si>
    <r>
      <t xml:space="preserve">C= </t>
    </r>
    <r>
      <rPr>
        <sz val="11"/>
        <color theme="1"/>
        <rFont val="Calibri"/>
        <family val="2"/>
        <scheme val="minor"/>
      </rPr>
      <t>Flujo de efectivo que recibira</t>
    </r>
  </si>
  <si>
    <r>
      <rPr>
        <b/>
        <sz val="11"/>
        <color theme="1"/>
        <rFont val="Calibri"/>
        <family val="2"/>
        <scheme val="minor"/>
      </rPr>
      <t>VP=</t>
    </r>
    <r>
      <rPr>
        <sz val="11"/>
        <color theme="1"/>
        <rFont val="Calibri"/>
        <family val="2"/>
        <scheme val="minor"/>
      </rPr>
      <t xml:space="preserve"> Efectivo que invierte hoy</t>
    </r>
  </si>
  <si>
    <t>3)</t>
  </si>
  <si>
    <t>2)</t>
  </si>
  <si>
    <t xml:space="preserve">Rendimiento requerido </t>
  </si>
  <si>
    <t xml:space="preserve">1), 2), 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</si>
</sst>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8" formatCode="&quot;$&quot;#,##0.00;[Red]\-&quot;$&quot;#,##0.00"/>
    <numFmt numFmtId="44" formatCode="_-&quot;$&quot;* #,##0.00_-;\-&quot;$&quot;* #,##0.00_-;_-&quot;$&quot;* &quot;-&quot;??_-;_-@_-"/>
    <numFmt numFmtId="164" formatCode="0.0000"/>
    <numFmt numFmtId="165" formatCode="0.0000%"/>
  </numFmts>
  <fonts count="15"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
      <sz val="11"/>
      <color theme="1"/>
      <name val="Calibri"/>
      <family val="2"/>
      <scheme val="minor"/>
    </font>
    <font>
      <b/>
      <sz val="14"/>
      <color theme="1"/>
      <name val="Calibri"/>
      <family val="2"/>
      <scheme val="minor"/>
    </font>
    <font>
      <b/>
      <sz val="16"/>
      <color theme="1"/>
      <name val="Calibri"/>
      <family val="2"/>
      <scheme val="minor"/>
    </font>
    <font>
      <sz val="14"/>
      <color theme="1"/>
      <name val="Calibri"/>
      <family val="2"/>
      <scheme val="minor"/>
    </font>
    <font>
      <sz val="11"/>
      <color rgb="FF000000"/>
      <name val="Calibri"/>
      <family val="2"/>
    </font>
    <font>
      <sz val="14"/>
      <color theme="1"/>
      <name val="Arial Black"/>
      <family val="2"/>
    </font>
    <font>
      <sz val="12"/>
      <color theme="1"/>
      <name val="Calibri"/>
      <family val="2"/>
      <scheme val="minor"/>
    </font>
    <font>
      <b/>
      <sz val="12"/>
      <color theme="1"/>
      <name val="Calibri"/>
      <family val="2"/>
      <scheme val="minor"/>
    </font>
    <font>
      <b/>
      <u/>
      <sz val="11"/>
      <color theme="1"/>
      <name val="Calibri"/>
      <family val="2"/>
      <scheme val="minor"/>
    </font>
    <font>
      <sz val="11"/>
      <color theme="9" tint="0.39997558519241921"/>
      <name val="Calibri"/>
      <family val="2"/>
      <scheme val="minor"/>
    </font>
    <font>
      <b/>
      <u/>
      <sz val="11"/>
      <name val="Calibri"/>
      <family val="2"/>
      <scheme val="minor"/>
    </font>
  </fonts>
  <fills count="20">
    <fill>
      <patternFill patternType="none"/>
    </fill>
    <fill>
      <patternFill patternType="gray125"/>
    </fill>
    <fill>
      <patternFill patternType="solid">
        <fgColor theme="8"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rgb="FFCC99FF"/>
        <bgColor indexed="64"/>
      </patternFill>
    </fill>
    <fill>
      <patternFill patternType="solid">
        <fgColor theme="4"/>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39997558519241921"/>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thin">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s>
  <cellStyleXfs count="2">
    <xf numFmtId="0" fontId="0" fillId="0" borderId="0"/>
    <xf numFmtId="44" fontId="4" fillId="0" borderId="0" applyFont="0" applyFill="0" applyBorder="0" applyAlignment="0" applyProtection="0"/>
  </cellStyleXfs>
  <cellXfs count="217">
    <xf numFmtId="0" fontId="0" fillId="0" borderId="0" xfId="0"/>
    <xf numFmtId="9" fontId="0" fillId="0" borderId="0" xfId="0" applyNumberFormat="1"/>
    <xf numFmtId="10" fontId="0" fillId="0" borderId="0" xfId="0" applyNumberFormat="1"/>
    <xf numFmtId="0" fontId="1" fillId="0" borderId="0" xfId="0" applyFont="1"/>
    <xf numFmtId="0" fontId="1" fillId="0" borderId="0" xfId="0" applyFont="1" applyAlignment="1">
      <alignment horizontal="right"/>
    </xf>
    <xf numFmtId="6" fontId="0" fillId="0" borderId="0" xfId="0" applyNumberFormat="1"/>
    <xf numFmtId="8" fontId="0" fillId="0" borderId="0" xfId="0" applyNumberFormat="1"/>
    <xf numFmtId="6" fontId="1" fillId="0" borderId="0" xfId="0" applyNumberFormat="1" applyFont="1"/>
    <xf numFmtId="0" fontId="1" fillId="0" borderId="0" xfId="0" applyFont="1" applyAlignment="1">
      <alignment horizontal="left"/>
    </xf>
    <xf numFmtId="0" fontId="3" fillId="0" borderId="0" xfId="0" applyFont="1"/>
    <xf numFmtId="0" fontId="0" fillId="3" borderId="0" xfId="0" applyFill="1"/>
    <xf numFmtId="0" fontId="6" fillId="3" borderId="0" xfId="0" applyFont="1" applyFill="1" applyAlignment="1">
      <alignment horizontal="center"/>
    </xf>
    <xf numFmtId="0" fontId="0" fillId="3" borderId="0" xfId="0" applyFill="1" applyAlignment="1">
      <alignment horizontal="right"/>
    </xf>
    <xf numFmtId="44" fontId="0" fillId="0" borderId="0" xfId="1" applyFont="1"/>
    <xf numFmtId="0" fontId="1" fillId="0" borderId="0" xfId="0" applyFont="1" applyAlignment="1">
      <alignment horizontal="center"/>
    </xf>
    <xf numFmtId="0" fontId="0" fillId="0" borderId="0" xfId="0" applyAlignment="1">
      <alignment horizontal="center"/>
    </xf>
    <xf numFmtId="0" fontId="0" fillId="0" borderId="0" xfId="0" applyAlignment="1">
      <alignment horizontal="left"/>
    </xf>
    <xf numFmtId="164" fontId="0" fillId="0" borderId="0" xfId="0" applyNumberFormat="1" applyAlignment="1">
      <alignment horizontal="center"/>
    </xf>
    <xf numFmtId="0" fontId="0" fillId="0" borderId="1" xfId="0" applyBorder="1" applyAlignment="1">
      <alignment horizontal="center"/>
    </xf>
    <xf numFmtId="165" fontId="0" fillId="0" borderId="0" xfId="0" applyNumberFormat="1" applyAlignment="1">
      <alignment horizontal="center"/>
    </xf>
    <xf numFmtId="0" fontId="0" fillId="0" borderId="11" xfId="0" applyBorder="1"/>
    <xf numFmtId="0" fontId="0" fillId="0" borderId="13" xfId="0" applyBorder="1" applyAlignment="1">
      <alignment horizontal="center"/>
    </xf>
    <xf numFmtId="44" fontId="0" fillId="0" borderId="0" xfId="1" applyNumberFormat="1" applyFont="1" applyProtection="1">
      <protection locked="0"/>
    </xf>
    <xf numFmtId="0" fontId="0" fillId="0" borderId="0" xfId="0" applyProtection="1">
      <protection locked="0"/>
    </xf>
    <xf numFmtId="0" fontId="9" fillId="0" borderId="9" xfId="0" applyFont="1" applyBorder="1" applyAlignment="1">
      <alignment horizontal="center" wrapText="1"/>
    </xf>
    <xf numFmtId="0" fontId="5" fillId="3" borderId="0" xfId="0" applyFont="1" applyFill="1" applyAlignment="1">
      <alignment horizontal="center"/>
    </xf>
    <xf numFmtId="7" fontId="0" fillId="0" borderId="0" xfId="1" applyNumberFormat="1" applyFont="1" applyProtection="1">
      <protection locked="0"/>
    </xf>
    <xf numFmtId="0" fontId="0" fillId="4" borderId="0" xfId="0" applyFill="1"/>
    <xf numFmtId="0" fontId="10" fillId="4" borderId="0" xfId="0" applyFont="1" applyFill="1"/>
    <xf numFmtId="0" fontId="0" fillId="5" borderId="0" xfId="0" applyFill="1"/>
    <xf numFmtId="0" fontId="10" fillId="5" borderId="0" xfId="0" applyFont="1" applyFill="1"/>
    <xf numFmtId="0" fontId="0" fillId="6" borderId="0" xfId="0" applyFill="1"/>
    <xf numFmtId="0" fontId="10" fillId="6" borderId="0" xfId="0" applyFont="1" applyFill="1"/>
    <xf numFmtId="0" fontId="0" fillId="7" borderId="0" xfId="0" applyFill="1"/>
    <xf numFmtId="0" fontId="1" fillId="7" borderId="0" xfId="0" applyFont="1" applyFill="1"/>
    <xf numFmtId="0" fontId="0" fillId="8" borderId="0" xfId="0" applyFill="1"/>
    <xf numFmtId="0" fontId="0" fillId="9" borderId="0" xfId="0" applyFill="1"/>
    <xf numFmtId="0" fontId="6" fillId="9" borderId="0" xfId="0" applyFont="1" applyFill="1" applyAlignment="1">
      <alignment horizontal="left"/>
    </xf>
    <xf numFmtId="0" fontId="6" fillId="9" borderId="0" xfId="0" applyFont="1" applyFill="1"/>
    <xf numFmtId="0" fontId="11" fillId="9" borderId="0" xfId="0" applyFont="1" applyFill="1"/>
    <xf numFmtId="0" fontId="0" fillId="0" borderId="14" xfId="0" applyBorder="1"/>
    <xf numFmtId="0" fontId="0" fillId="0" borderId="15" xfId="0" applyBorder="1"/>
    <xf numFmtId="0" fontId="3" fillId="0" borderId="15" xfId="0" applyFont="1" applyBorder="1"/>
    <xf numFmtId="0" fontId="0" fillId="0" borderId="16" xfId="0" applyBorder="1"/>
    <xf numFmtId="0" fontId="0" fillId="3" borderId="17" xfId="0" applyFill="1" applyBorder="1"/>
    <xf numFmtId="44" fontId="0" fillId="3" borderId="0" xfId="1" applyFont="1" applyFill="1" applyBorder="1"/>
    <xf numFmtId="0" fontId="0" fillId="3" borderId="18" xfId="0" applyFill="1" applyBorder="1"/>
    <xf numFmtId="44" fontId="0" fillId="2" borderId="0" xfId="1" applyFont="1" applyFill="1" applyBorder="1"/>
    <xf numFmtId="44" fontId="0" fillId="3" borderId="14" xfId="1" applyFont="1" applyFill="1" applyBorder="1" applyAlignment="1">
      <alignment horizontal="center"/>
    </xf>
    <xf numFmtId="44" fontId="0" fillId="3" borderId="15" xfId="1" applyFont="1" applyFill="1" applyBorder="1" applyAlignment="1">
      <alignment horizontal="center"/>
    </xf>
    <xf numFmtId="0" fontId="0" fillId="3" borderId="16" xfId="0" applyFill="1" applyBorder="1" applyAlignment="1">
      <alignment horizontal="center"/>
    </xf>
    <xf numFmtId="44" fontId="0" fillId="3" borderId="17" xfId="1" applyFont="1" applyFill="1" applyBorder="1" applyAlignment="1">
      <alignment horizontal="center"/>
    </xf>
    <xf numFmtId="44" fontId="0" fillId="3" borderId="0" xfId="1" applyFont="1" applyFill="1" applyBorder="1" applyAlignment="1">
      <alignment horizontal="center"/>
    </xf>
    <xf numFmtId="0" fontId="0" fillId="3" borderId="18" xfId="0" applyFill="1" applyBorder="1" applyAlignment="1">
      <alignment horizontal="center"/>
    </xf>
    <xf numFmtId="0" fontId="7" fillId="6" borderId="19" xfId="0" applyFont="1" applyFill="1" applyBorder="1" applyAlignment="1">
      <alignment horizontal="center"/>
    </xf>
    <xf numFmtId="0" fontId="7" fillId="6" borderId="2" xfId="0" applyFont="1" applyFill="1" applyBorder="1" applyAlignment="1">
      <alignment horizontal="center"/>
    </xf>
    <xf numFmtId="44" fontId="0" fillId="10" borderId="20" xfId="1" applyFont="1" applyFill="1" applyBorder="1"/>
    <xf numFmtId="0" fontId="0" fillId="10" borderId="20" xfId="0" applyFill="1" applyBorder="1"/>
    <xf numFmtId="0" fontId="0" fillId="11" borderId="21" xfId="0" applyFill="1" applyBorder="1"/>
    <xf numFmtId="0" fontId="0" fillId="12" borderId="21" xfId="0" applyFill="1" applyBorder="1"/>
    <xf numFmtId="0" fontId="0" fillId="13" borderId="21" xfId="0" applyFill="1" applyBorder="1"/>
    <xf numFmtId="44" fontId="0" fillId="14" borderId="21" xfId="1" applyFont="1" applyFill="1" applyBorder="1"/>
    <xf numFmtId="0" fontId="0" fillId="14" borderId="21" xfId="0" applyFill="1" applyBorder="1"/>
    <xf numFmtId="0" fontId="0" fillId="0" borderId="17" xfId="0" applyBorder="1"/>
    <xf numFmtId="8" fontId="0" fillId="15" borderId="22" xfId="0" applyNumberFormat="1" applyFill="1" applyBorder="1"/>
    <xf numFmtId="0" fontId="1" fillId="15" borderId="23" xfId="0" applyFont="1" applyFill="1" applyBorder="1" applyAlignment="1">
      <alignment horizontal="right"/>
    </xf>
    <xf numFmtId="44" fontId="0" fillId="16" borderId="24" xfId="1" applyFont="1" applyFill="1" applyBorder="1"/>
    <xf numFmtId="0" fontId="0" fillId="16" borderId="24" xfId="0" applyFill="1" applyBorder="1"/>
    <xf numFmtId="0" fontId="0" fillId="0" borderId="18" xfId="0" applyBorder="1"/>
    <xf numFmtId="0" fontId="0" fillId="2" borderId="25" xfId="0" applyFill="1" applyBorder="1"/>
    <xf numFmtId="0" fontId="0" fillId="2" borderId="26" xfId="0" applyFill="1" applyBorder="1"/>
    <xf numFmtId="0" fontId="2" fillId="2" borderId="27" xfId="0" applyFont="1" applyFill="1" applyBorder="1"/>
    <xf numFmtId="0" fontId="5" fillId="8" borderId="0" xfId="0" applyFont="1" applyFill="1"/>
    <xf numFmtId="8" fontId="0" fillId="17" borderId="0" xfId="0" applyNumberFormat="1" applyFill="1"/>
    <xf numFmtId="0" fontId="1" fillId="17" borderId="0" xfId="0" applyFont="1" applyFill="1" applyAlignment="1">
      <alignment horizontal="right"/>
    </xf>
    <xf numFmtId="0" fontId="1" fillId="3" borderId="16" xfId="0" applyFont="1" applyFill="1" applyBorder="1" applyAlignment="1">
      <alignment horizontal="center"/>
    </xf>
    <xf numFmtId="0" fontId="1" fillId="3" borderId="18" xfId="0" applyFont="1" applyFill="1" applyBorder="1" applyAlignment="1">
      <alignment horizontal="center"/>
    </xf>
    <xf numFmtId="0" fontId="0" fillId="0" borderId="28" xfId="0" applyBorder="1"/>
    <xf numFmtId="0" fontId="0" fillId="0" borderId="29" xfId="0" applyBorder="1"/>
    <xf numFmtId="0" fontId="1" fillId="0" borderId="29" xfId="0" applyFont="1" applyBorder="1" applyAlignment="1">
      <alignment horizontal="right"/>
    </xf>
    <xf numFmtId="0" fontId="0" fillId="0" borderId="30" xfId="0" applyBorder="1"/>
    <xf numFmtId="0" fontId="0" fillId="0" borderId="31" xfId="0" applyBorder="1"/>
    <xf numFmtId="0" fontId="0" fillId="0" borderId="32" xfId="0" applyBorder="1"/>
    <xf numFmtId="0" fontId="1" fillId="0" borderId="32" xfId="0" applyFont="1" applyBorder="1" applyAlignment="1">
      <alignment horizontal="right"/>
    </xf>
    <xf numFmtId="0" fontId="0" fillId="0" borderId="33" xfId="0" applyBorder="1"/>
    <xf numFmtId="0" fontId="1" fillId="18" borderId="10" xfId="0" applyFont="1" applyFill="1" applyBorder="1" applyAlignment="1">
      <alignment horizontal="right"/>
    </xf>
    <xf numFmtId="6" fontId="1" fillId="0" borderId="1" xfId="0" applyNumberFormat="1" applyFont="1" applyBorder="1"/>
    <xf numFmtId="0" fontId="0" fillId="19" borderId="14" xfId="0" applyFill="1" applyBorder="1"/>
    <xf numFmtId="0" fontId="0" fillId="19" borderId="15" xfId="0" applyFill="1" applyBorder="1"/>
    <xf numFmtId="0" fontId="0" fillId="19" borderId="16" xfId="0" applyFill="1" applyBorder="1"/>
    <xf numFmtId="9" fontId="0" fillId="0" borderId="1" xfId="0" applyNumberFormat="1" applyBorder="1"/>
    <xf numFmtId="0" fontId="0" fillId="19" borderId="34" xfId="0" applyFill="1" applyBorder="1"/>
    <xf numFmtId="0" fontId="0" fillId="19" borderId="35" xfId="0" applyFill="1" applyBorder="1"/>
    <xf numFmtId="0" fontId="0" fillId="19" borderId="36" xfId="0" applyFill="1" applyBorder="1"/>
    <xf numFmtId="6" fontId="0" fillId="0" borderId="1" xfId="0" applyNumberFormat="1" applyBorder="1"/>
    <xf numFmtId="0" fontId="0" fillId="3" borderId="14" xfId="0" applyFill="1" applyBorder="1"/>
    <xf numFmtId="44" fontId="0" fillId="3" borderId="15" xfId="1" applyFont="1" applyFill="1" applyBorder="1"/>
    <xf numFmtId="44" fontId="0" fillId="2" borderId="15" xfId="1" applyFont="1" applyFill="1" applyBorder="1"/>
    <xf numFmtId="0" fontId="0" fillId="3" borderId="15" xfId="0" applyFill="1" applyBorder="1"/>
    <xf numFmtId="0" fontId="0" fillId="3" borderId="16" xfId="0" applyFill="1" applyBorder="1"/>
    <xf numFmtId="0" fontId="2" fillId="2" borderId="19" xfId="0" applyFont="1" applyFill="1" applyBorder="1"/>
    <xf numFmtId="0" fontId="0" fillId="17" borderId="0" xfId="0" applyFill="1"/>
    <xf numFmtId="0" fontId="1" fillId="17" borderId="18" xfId="0" applyFont="1" applyFill="1" applyBorder="1"/>
    <xf numFmtId="0" fontId="7" fillId="6" borderId="19" xfId="0" applyFont="1" applyFill="1" applyBorder="1"/>
    <xf numFmtId="0" fontId="7" fillId="6" borderId="2" xfId="0" applyFont="1" applyFill="1" applyBorder="1"/>
    <xf numFmtId="0" fontId="1" fillId="0" borderId="29" xfId="0" applyFont="1" applyBorder="1"/>
    <xf numFmtId="0" fontId="1" fillId="17" borderId="18" xfId="0" applyFont="1" applyFill="1" applyBorder="1" applyAlignment="1">
      <alignment horizontal="right"/>
    </xf>
    <xf numFmtId="0" fontId="5" fillId="3" borderId="0" xfId="0" applyFont="1" applyFill="1"/>
    <xf numFmtId="0" fontId="1" fillId="18" borderId="37" xfId="0" applyFont="1" applyFill="1" applyBorder="1" applyAlignment="1">
      <alignment horizontal="right"/>
    </xf>
    <xf numFmtId="0" fontId="2" fillId="2" borderId="38" xfId="0" applyFont="1" applyFill="1" applyBorder="1"/>
    <xf numFmtId="0" fontId="0" fillId="19" borderId="25" xfId="0" applyFill="1" applyBorder="1"/>
    <xf numFmtId="0" fontId="0" fillId="19" borderId="26" xfId="0" applyFill="1" applyBorder="1"/>
    <xf numFmtId="0" fontId="0" fillId="19" borderId="27" xfId="0" applyFill="1" applyBorder="1"/>
    <xf numFmtId="8" fontId="0" fillId="2" borderId="39" xfId="0" applyNumberFormat="1" applyFill="1" applyBorder="1"/>
    <xf numFmtId="0" fontId="1" fillId="2" borderId="40" xfId="0" applyFont="1" applyFill="1" applyBorder="1" applyAlignment="1">
      <alignment horizontal="right"/>
    </xf>
    <xf numFmtId="0" fontId="0" fillId="3" borderId="18" xfId="0" applyFill="1" applyBorder="1" applyAlignment="1">
      <alignment horizontal="right"/>
    </xf>
    <xf numFmtId="8" fontId="0" fillId="18" borderId="0" xfId="0" applyNumberFormat="1" applyFill="1"/>
    <xf numFmtId="0" fontId="1" fillId="18" borderId="0" xfId="0" applyFont="1" applyFill="1" applyAlignment="1">
      <alignment horizontal="right"/>
    </xf>
    <xf numFmtId="0" fontId="1" fillId="0" borderId="41" xfId="0" applyFont="1" applyBorder="1"/>
    <xf numFmtId="0" fontId="1" fillId="17" borderId="18" xfId="0" applyFont="1" applyFill="1" applyBorder="1" applyAlignment="1">
      <alignment horizontal="left"/>
    </xf>
    <xf numFmtId="8" fontId="0" fillId="2" borderId="14" xfId="0" applyNumberFormat="1" applyFill="1" applyBorder="1"/>
    <xf numFmtId="0" fontId="0" fillId="2" borderId="15" xfId="0" applyFill="1" applyBorder="1"/>
    <xf numFmtId="0" fontId="1" fillId="2" borderId="16" xfId="0" applyFont="1" applyFill="1" applyBorder="1"/>
    <xf numFmtId="9" fontId="0" fillId="0" borderId="17" xfId="0" applyNumberFormat="1" applyBorder="1"/>
    <xf numFmtId="8" fontId="0" fillId="0" borderId="34" xfId="0" applyNumberFormat="1" applyBorder="1"/>
    <xf numFmtId="0" fontId="0" fillId="0" borderId="35" xfId="0" applyBorder="1"/>
    <xf numFmtId="0" fontId="0" fillId="0" borderId="36" xfId="0" applyBorder="1"/>
    <xf numFmtId="8" fontId="0" fillId="17" borderId="0" xfId="0" applyNumberFormat="1" applyFill="1" applyAlignment="1">
      <alignment horizontal="left"/>
    </xf>
    <xf numFmtId="10" fontId="0" fillId="0" borderId="0" xfId="0" applyNumberFormat="1" applyAlignment="1">
      <alignment horizontal="left"/>
    </xf>
    <xf numFmtId="9" fontId="0" fillId="0" borderId="0" xfId="0" applyNumberFormat="1" applyAlignment="1">
      <alignment horizontal="left"/>
    </xf>
    <xf numFmtId="8" fontId="0" fillId="0" borderId="0" xfId="0" applyNumberFormat="1" applyAlignment="1">
      <alignment horizontal="left"/>
    </xf>
    <xf numFmtId="0" fontId="12" fillId="18" borderId="18" xfId="0" applyFont="1" applyFill="1" applyBorder="1"/>
    <xf numFmtId="0" fontId="0" fillId="0" borderId="34" xfId="0" applyBorder="1"/>
    <xf numFmtId="0" fontId="0" fillId="8" borderId="14" xfId="0" applyFill="1" applyBorder="1"/>
    <xf numFmtId="0" fontId="0" fillId="8" borderId="15" xfId="0" applyFill="1" applyBorder="1"/>
    <xf numFmtId="0" fontId="0" fillId="8" borderId="16" xfId="0" applyFill="1" applyBorder="1"/>
    <xf numFmtId="0" fontId="0" fillId="8" borderId="34" xfId="0" applyFill="1" applyBorder="1"/>
    <xf numFmtId="0" fontId="0" fillId="8" borderId="35" xfId="0" applyFill="1" applyBorder="1"/>
    <xf numFmtId="0" fontId="0" fillId="8" borderId="36" xfId="0" applyFill="1" applyBorder="1"/>
    <xf numFmtId="0" fontId="1" fillId="0" borderId="15" xfId="0" applyFont="1" applyBorder="1" applyAlignment="1">
      <alignment horizontal="right"/>
    </xf>
    <xf numFmtId="0" fontId="1" fillId="0" borderId="18" xfId="0" applyFont="1" applyBorder="1"/>
    <xf numFmtId="8" fontId="0" fillId="4" borderId="17" xfId="0" applyNumberFormat="1" applyFill="1" applyBorder="1"/>
    <xf numFmtId="8" fontId="0" fillId="10" borderId="17" xfId="0" applyNumberFormat="1" applyFill="1" applyBorder="1" applyAlignment="1">
      <alignment horizontal="left"/>
    </xf>
    <xf numFmtId="0" fontId="0" fillId="10" borderId="0" xfId="0" applyFill="1"/>
    <xf numFmtId="0" fontId="0" fillId="10" borderId="18" xfId="0" applyFill="1" applyBorder="1"/>
    <xf numFmtId="8" fontId="0" fillId="12" borderId="17" xfId="0" applyNumberFormat="1" applyFill="1" applyBorder="1" applyAlignment="1">
      <alignment horizontal="left"/>
    </xf>
    <xf numFmtId="0" fontId="0" fillId="12" borderId="0" xfId="0" applyFill="1"/>
    <xf numFmtId="0" fontId="0" fillId="12" borderId="18" xfId="0" applyFill="1" applyBorder="1"/>
    <xf numFmtId="8" fontId="0" fillId="14" borderId="17" xfId="0" applyNumberFormat="1" applyFill="1" applyBorder="1" applyAlignment="1">
      <alignment horizontal="left"/>
    </xf>
    <xf numFmtId="0" fontId="0" fillId="14" borderId="0" xfId="0" applyFill="1"/>
    <xf numFmtId="0" fontId="0" fillId="14" borderId="18" xfId="0" applyFill="1" applyBorder="1"/>
    <xf numFmtId="8" fontId="0" fillId="16" borderId="17" xfId="0" applyNumberFormat="1" applyFill="1" applyBorder="1" applyAlignment="1">
      <alignment horizontal="left"/>
    </xf>
    <xf numFmtId="0" fontId="0" fillId="16" borderId="0" xfId="0" applyFill="1"/>
    <xf numFmtId="0" fontId="0" fillId="16" borderId="18" xfId="0" applyFill="1" applyBorder="1"/>
    <xf numFmtId="0" fontId="13" fillId="19" borderId="25" xfId="0" applyFont="1" applyFill="1" applyBorder="1"/>
    <xf numFmtId="0" fontId="13" fillId="19" borderId="26" xfId="0" applyFont="1" applyFill="1" applyBorder="1"/>
    <xf numFmtId="0" fontId="13" fillId="19" borderId="27" xfId="0" applyFont="1" applyFill="1" applyBorder="1"/>
    <xf numFmtId="8" fontId="1" fillId="2" borderId="39" xfId="0" applyNumberFormat="1" applyFont="1" applyFill="1" applyBorder="1"/>
    <xf numFmtId="0" fontId="1" fillId="2" borderId="42" xfId="0" applyFont="1" applyFill="1" applyBorder="1" applyAlignment="1">
      <alignment horizontal="right"/>
    </xf>
    <xf numFmtId="0" fontId="1" fillId="0" borderId="32" xfId="0" applyFont="1" applyBorder="1"/>
    <xf numFmtId="0" fontId="0" fillId="0" borderId="1" xfId="0" applyBorder="1"/>
    <xf numFmtId="8" fontId="0" fillId="17" borderId="15" xfId="0" applyNumberFormat="1" applyFill="1" applyBorder="1" applyAlignment="1">
      <alignment horizontal="left"/>
    </xf>
    <xf numFmtId="0" fontId="1" fillId="17" borderId="15" xfId="0" applyFont="1" applyFill="1" applyBorder="1" applyAlignment="1">
      <alignment horizontal="right"/>
    </xf>
    <xf numFmtId="6" fontId="0" fillId="0" borderId="0" xfId="0" applyNumberFormat="1" applyAlignment="1">
      <alignment horizontal="left"/>
    </xf>
    <xf numFmtId="0" fontId="1" fillId="18" borderId="18" xfId="0" applyFont="1" applyFill="1" applyBorder="1"/>
    <xf numFmtId="0" fontId="0" fillId="0" borderId="6" xfId="0" applyBorder="1"/>
    <xf numFmtId="0" fontId="0" fillId="0" borderId="5" xfId="0" applyBorder="1"/>
    <xf numFmtId="0" fontId="0" fillId="0" borderId="43" xfId="0" applyBorder="1"/>
    <xf numFmtId="0" fontId="0" fillId="0" borderId="44" xfId="0" applyBorder="1"/>
    <xf numFmtId="0" fontId="0" fillId="0" borderId="4" xfId="0" applyBorder="1"/>
    <xf numFmtId="0" fontId="0" fillId="0" borderId="3" xfId="0" applyBorder="1"/>
    <xf numFmtId="8" fontId="0" fillId="17" borderId="15" xfId="0" applyNumberFormat="1" applyFill="1" applyBorder="1"/>
    <xf numFmtId="0" fontId="14" fillId="18" borderId="18" xfId="0" applyFont="1" applyFill="1" applyBorder="1"/>
    <xf numFmtId="10" fontId="0" fillId="0" borderId="13" xfId="0" applyNumberFormat="1" applyBorder="1" applyAlignment="1">
      <alignment horizontal="center"/>
    </xf>
    <xf numFmtId="10" fontId="0" fillId="0" borderId="45" xfId="0" applyNumberFormat="1" applyBorder="1" applyAlignment="1">
      <alignment horizontal="center"/>
    </xf>
    <xf numFmtId="10" fontId="0" fillId="0" borderId="39" xfId="0" applyNumberFormat="1" applyBorder="1" applyAlignment="1">
      <alignment horizontal="center"/>
    </xf>
    <xf numFmtId="0" fontId="1" fillId="2" borderId="20" xfId="0" applyFont="1" applyFill="1" applyBorder="1" applyAlignment="1">
      <alignment horizontal="center"/>
    </xf>
    <xf numFmtId="0" fontId="0" fillId="0" borderId="11" xfId="0" applyBorder="1" applyAlignment="1">
      <alignment horizontal="center"/>
    </xf>
    <xf numFmtId="0" fontId="0" fillId="0" borderId="22" xfId="0" applyBorder="1" applyAlignment="1">
      <alignment horizontal="center"/>
    </xf>
    <xf numFmtId="0" fontId="1" fillId="2" borderId="21" xfId="0" applyFont="1" applyFill="1" applyBorder="1" applyAlignment="1">
      <alignment horizontal="center"/>
    </xf>
    <xf numFmtId="10" fontId="0" fillId="0" borderId="11" xfId="0" applyNumberFormat="1" applyBorder="1" applyAlignment="1">
      <alignment horizontal="center"/>
    </xf>
    <xf numFmtId="9" fontId="0" fillId="0" borderId="1" xfId="0" applyNumberFormat="1" applyBorder="1" applyAlignment="1">
      <alignment horizontal="center"/>
    </xf>
    <xf numFmtId="9" fontId="0" fillId="0" borderId="22" xfId="0" applyNumberFormat="1" applyBorder="1" applyAlignment="1">
      <alignment horizontal="center"/>
    </xf>
    <xf numFmtId="0" fontId="0" fillId="0" borderId="46"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1" fillId="2" borderId="24" xfId="0" applyFont="1" applyFill="1" applyBorder="1" applyAlignment="1">
      <alignment horizontal="center"/>
    </xf>
    <xf numFmtId="0" fontId="1" fillId="17" borderId="0" xfId="0" applyFont="1" applyFill="1"/>
    <xf numFmtId="0" fontId="1" fillId="17" borderId="25" xfId="0" applyFont="1" applyFill="1" applyBorder="1" applyAlignment="1">
      <alignment horizontal="center"/>
    </xf>
    <xf numFmtId="0" fontId="1" fillId="17" borderId="19" xfId="0" applyFont="1" applyFill="1" applyBorder="1" applyAlignment="1">
      <alignment horizontal="center"/>
    </xf>
    <xf numFmtId="0" fontId="1" fillId="7" borderId="19" xfId="0" applyFont="1" applyFill="1"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50" xfId="0" applyFill="1" applyBorder="1" applyAlignment="1">
      <alignment horizontal="center"/>
    </xf>
    <xf numFmtId="0" fontId="0" fillId="15" borderId="17" xfId="0" applyFill="1" applyBorder="1" applyAlignment="1">
      <alignment horizontal="center"/>
    </xf>
    <xf numFmtId="0" fontId="0" fillId="17" borderId="25" xfId="0" applyFill="1" applyBorder="1" applyAlignment="1">
      <alignment horizontal="center"/>
    </xf>
    <xf numFmtId="0" fontId="0" fillId="17" borderId="27" xfId="0" applyFill="1" applyBorder="1" applyAlignment="1">
      <alignment horizontal="center"/>
    </xf>
    <xf numFmtId="0" fontId="0" fillId="0" borderId="0" xfId="0" applyProtection="1"/>
    <xf numFmtId="7" fontId="0" fillId="0" borderId="0" xfId="0" applyNumberFormat="1" applyProtection="1"/>
    <xf numFmtId="0" fontId="1" fillId="0" borderId="10" xfId="0" applyFont="1" applyBorder="1" applyAlignment="1">
      <alignment horizontal="right"/>
    </xf>
    <xf numFmtId="0" fontId="1" fillId="0" borderId="1" xfId="0" applyFont="1" applyBorder="1" applyAlignment="1">
      <alignment horizontal="right"/>
    </xf>
    <xf numFmtId="0" fontId="0" fillId="0" borderId="10" xfId="0" applyBorder="1" applyAlignment="1">
      <alignment horizontal="right"/>
    </xf>
    <xf numFmtId="0" fontId="0" fillId="0" borderId="1" xfId="0" applyBorder="1" applyAlignment="1">
      <alignment horizontal="right"/>
    </xf>
    <xf numFmtId="0" fontId="5" fillId="3" borderId="0" xfId="0" applyFont="1" applyFill="1" applyAlignment="1">
      <alignment horizontal="center"/>
    </xf>
    <xf numFmtId="0" fontId="0" fillId="0" borderId="10" xfId="0" applyBorder="1" applyAlignment="1">
      <alignment horizontal="left"/>
    </xf>
    <xf numFmtId="0" fontId="0" fillId="0" borderId="1" xfId="0" applyBorder="1" applyAlignment="1">
      <alignment horizontal="left"/>
    </xf>
    <xf numFmtId="0" fontId="1" fillId="0" borderId="10" xfId="0" applyFont="1" applyBorder="1" applyAlignment="1">
      <alignment horizontal="left"/>
    </xf>
    <xf numFmtId="0" fontId="1" fillId="0" borderId="1" xfId="0" applyFont="1" applyBorder="1" applyAlignment="1">
      <alignment horizontal="left"/>
    </xf>
    <xf numFmtId="0" fontId="0" fillId="7" borderId="49" xfId="0" applyFill="1" applyBorder="1" applyAlignment="1">
      <alignment horizontal="center"/>
    </xf>
    <xf numFmtId="0" fontId="0" fillId="7" borderId="48" xfId="0" applyFill="1" applyBorder="1" applyAlignment="1">
      <alignment horizontal="center"/>
    </xf>
    <xf numFmtId="9" fontId="0" fillId="0" borderId="40" xfId="0" applyNumberFormat="1" applyBorder="1" applyAlignment="1">
      <alignment horizontal="center"/>
    </xf>
    <xf numFmtId="9" fontId="0" fillId="0" borderId="47" xfId="0" applyNumberFormat="1" applyBorder="1" applyAlignment="1">
      <alignment horizontal="center"/>
    </xf>
    <xf numFmtId="0" fontId="0" fillId="0" borderId="8" xfId="0" applyBorder="1" applyAlignment="1">
      <alignment horizontal="center"/>
    </xf>
    <xf numFmtId="0" fontId="0" fillId="0" borderId="10" xfId="0" applyBorder="1" applyAlignment="1">
      <alignment horizontal="center"/>
    </xf>
    <xf numFmtId="0" fontId="0" fillId="0" borderId="12" xfId="0" applyBorder="1" applyAlignment="1">
      <alignment horizontal="center"/>
    </xf>
  </cellXfs>
  <cellStyles count="2">
    <cellStyle name="Moneda"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9526</xdr:colOff>
      <xdr:row>0</xdr:row>
      <xdr:rowOff>9522</xdr:rowOff>
    </xdr:from>
    <xdr:to>
      <xdr:col>9</xdr:col>
      <xdr:colOff>752475</xdr:colOff>
      <xdr:row>41</xdr:row>
      <xdr:rowOff>171449</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9526" y="9522"/>
          <a:ext cx="7600949" cy="7972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t>LA</a:t>
          </a:r>
          <a:r>
            <a:rPr lang="es-MX" sz="1100" b="1" baseline="0"/>
            <a:t> DECISIÓN SOBRE LA MAESTRÍA EN ADMINISTRACIÓN</a:t>
          </a:r>
        </a:p>
        <a:p>
          <a:pPr algn="l"/>
          <a:r>
            <a:rPr lang="es-MX"/>
            <a:t>Ben Bates se graduó de la universidad hace seis años con una licenciatura en finanzas. Aunque está satisfecho con su trabajo actual, su meta es especializarse en banca de inversión. Piensa que un título de maestría en administración de empresas (MBA, por sus siglas en inglés) le permitirá lograr esta meta. Después de examinar las escuelas, redujo su elección ya sea a Walton University o Mount Perry College. Aunque en ambas escuelas se fomentan los programas de servicio social, para obtener créditos académicos por este servicio no se pueden pagar salarios. Aparte del servicio social, ninguna de las dos escuelas permite que sus estudiantes trabajen mientras están inscritos en sus programas de MBA.</a:t>
          </a:r>
        </a:p>
        <a:p>
          <a:pPr algn="l"/>
          <a:endParaRPr lang="es-MX"/>
        </a:p>
        <a:p>
          <a:pPr algn="l"/>
          <a:r>
            <a:rPr lang="es-MX"/>
            <a:t>Ben trabaja en la empresa de administración de dinero Dewey and Louis. Su salario anual es de 60 000 dólares por año y se espera que su salario aumente 3% anual hasta la jubilación. Actualmente Ben tiene 28 años de edad y espera trabajar 40 años más. Su trabajo actual incluye un plan de seguro de gastos médicos totalmente pagado y el promedio de su tasa tributaria actual es de 26%. Ben tiene una cuenta de ahorro con suficiente dinero para cubrir la totalidad del costo de su programa de MBA.</a:t>
          </a:r>
        </a:p>
        <a:p>
          <a:pPr algn="l"/>
          <a:endParaRPr lang="es-MX" sz="1100"/>
        </a:p>
        <a:p>
          <a:pPr algn="l"/>
          <a:r>
            <a:rPr lang="es-MX"/>
            <a:t>El Ritter College of Business, de la Walton University, tiene uno de los mejores programas de MBA en el país. El programa de maestría requiere una inscripción de tiempo completo durante dos años en la universidad. La colegiatura anual es de 65 000 dólares, pagadera al inicio de cada año escolar. Se estima que los libros y otros útiles escolares cuesten 3 000 dólares por año. Ben espera que después de la graduación de Walton recibirá una oferta de trabajo de aproximadamente 110 000 dólares anuales, con un bono a la firma del contrato de 20 000 dólares. En este trabajo su salario aumentará 4% por año. Debido a este salario más alto, el promedio de la tasa tributaria del impuesto sobre la renta aumentará a 31 por ciento.</a:t>
          </a:r>
        </a:p>
        <a:p>
          <a:pPr algn="l"/>
          <a:endParaRPr lang="es-MX" sz="1100"/>
        </a:p>
        <a:p>
          <a:pPr algn="l"/>
          <a:r>
            <a:rPr lang="es-MX"/>
            <a:t>La Bradley School of Business, del Mount Perry College, puso en marcha su programa de MBA hace 16 años. Bradley School es más pequeña y menos conocida que el Ritter College. Bradley ofrece un programa acelerado de un año, con un costo de colegiatura de 80 000 dólares pagaderos en el momento de matricularse. Se espera que los libros y otros útiles escolares para el programa tengan un costo de 4 500 dólares. Ben considera que recibirá una oferta de 92 000 dólares anuales después de graduarse, con un bono a la firma del contrato de 18 000 dólares. El salario de este trabajo aumentará 3.5% anual. El promedio de la tasa del impuesto sobre la renta será de 29 por ciento.</a:t>
          </a:r>
        </a:p>
        <a:p>
          <a:pPr algn="l"/>
          <a:endParaRPr lang="es-MX" sz="1100"/>
        </a:p>
        <a:p>
          <a:pPr algn="l"/>
          <a:r>
            <a:rPr lang="es-MX"/>
            <a:t>Ambas escuelas ofrecen un plan de seguro de gastos médicos que costará 3 000 dólares anuales, pagadero al principio del año. Ben también ha estimado que los gastos de alojamiento y pensión tendrán un costo de 2 000 dólares más por año en cualquiera de las dos escuelas. La tasa de descuento apropiada es de 6.5 por ciento.</a:t>
          </a:r>
        </a:p>
        <a:p>
          <a:pPr algn="l"/>
          <a:endParaRPr lang="es-MX" sz="1100"/>
        </a:p>
        <a:p>
          <a:pPr algn="l"/>
          <a:r>
            <a:rPr lang="es-MX"/>
            <a:t>1. ¿Cómo afecta la edad de Ben su decisión de obtener un título de MBA?</a:t>
          </a:r>
        </a:p>
        <a:p>
          <a:pPr algn="l"/>
          <a:endParaRPr lang="es-MX"/>
        </a:p>
        <a:p>
          <a:pPr algn="l"/>
          <a:r>
            <a:rPr lang="es-MX"/>
            <a:t>2. ¿Qué otros factores, tal vez no cuantificables, afectan la decisión de Ben de obtener el título de MBA? </a:t>
          </a:r>
        </a:p>
        <a:p>
          <a:pPr algn="l"/>
          <a:endParaRPr lang="es-MX"/>
        </a:p>
        <a:p>
          <a:pPr algn="l"/>
          <a:r>
            <a:rPr lang="es-MX"/>
            <a:t>3. Suponiendo que todos los salarios se pagan al final de cada año, ¿cuál es la mejor opción para Ben desde un punto de vista estrictamente financiero? </a:t>
          </a:r>
        </a:p>
        <a:p>
          <a:pPr algn="l"/>
          <a:endParaRPr lang="es-MX"/>
        </a:p>
        <a:p>
          <a:pPr algn="l"/>
          <a:r>
            <a:rPr lang="es-MX"/>
            <a:t>4. Ben considera que el análisis apropiado consiste en calcular el valor futuro de cada opción. ¿Cómo evaluaría usted esta afirmación? </a:t>
          </a:r>
        </a:p>
        <a:p>
          <a:pPr algn="l"/>
          <a:endParaRPr lang="es-MX"/>
        </a:p>
        <a:p>
          <a:pPr algn="l"/>
          <a:r>
            <a:rPr lang="es-MX"/>
            <a:t>5. ¿Qué salario inicial necesitaría recibir Ben para que se mostrara indiferente entre asistir a la Walton University o permanecer en su posición actual? </a:t>
          </a:r>
        </a:p>
        <a:p>
          <a:pPr algn="l"/>
          <a:endParaRPr lang="es-MX"/>
        </a:p>
        <a:p>
          <a:pPr algn="l"/>
          <a:r>
            <a:rPr lang="es-MX"/>
            <a:t>6. Suponga que en lugar de pagar en efectivo su MBA, Ben debe solicitar un préstamo para estudiar. La tasa actual sobre préstamos es de 5.4%. ¿Cómo afectaría esto su decisión?</a:t>
          </a:r>
          <a:endParaRPr lang="es-MX" sz="1100"/>
        </a:p>
      </xdr:txBody>
    </xdr:sp>
    <xdr:clientData/>
  </xdr:twoCellAnchor>
  <xdr:oneCellAnchor>
    <xdr:from>
      <xdr:col>16</xdr:col>
      <xdr:colOff>171450</xdr:colOff>
      <xdr:row>38</xdr:row>
      <xdr:rowOff>14287</xdr:rowOff>
    </xdr:from>
    <xdr:ext cx="3014928" cy="172227"/>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2363450" y="7253287"/>
              <a:ext cx="30149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𝑽𝒂𝒍𝒐𝒓</m:t>
                    </m:r>
                    <m:r>
                      <a:rPr lang="es-MX" sz="1100" b="1" i="1">
                        <a:latin typeface="Cambria Math" panose="02040503050406030204" pitchFamily="18" charset="0"/>
                      </a:rPr>
                      <m:t> </m:t>
                    </m:r>
                    <m:r>
                      <a:rPr lang="es-MX" sz="1100" b="1" i="1">
                        <a:latin typeface="Cambria Math" panose="02040503050406030204" pitchFamily="18" charset="0"/>
                      </a:rPr>
                      <m:t>𝒑𝒓𝒆𝒔𝒆𝒏𝒕𝒆</m:t>
                    </m:r>
                    <m:r>
                      <a:rPr lang="es-MX" sz="1100" b="1" i="1">
                        <a:latin typeface="Cambria Math" panose="02040503050406030204" pitchFamily="18" charset="0"/>
                      </a:rPr>
                      <m:t> </m:t>
                    </m:r>
                    <m:r>
                      <a:rPr lang="es-MX" sz="1100" b="1" i="1">
                        <a:latin typeface="Cambria Math" panose="02040503050406030204" pitchFamily="18" charset="0"/>
                      </a:rPr>
                      <m:t>𝒅𝒆</m:t>
                    </m:r>
                    <m:r>
                      <a:rPr lang="es-MX" sz="1100" b="1" i="1">
                        <a:latin typeface="Cambria Math" panose="02040503050406030204" pitchFamily="18" charset="0"/>
                      </a:rPr>
                      <m:t> </m:t>
                    </m:r>
                    <m:r>
                      <a:rPr lang="es-MX" sz="1100" b="1" i="1">
                        <a:latin typeface="Cambria Math" panose="02040503050406030204" pitchFamily="18" charset="0"/>
                      </a:rPr>
                      <m:t>𝒖𝒏𝒂</m:t>
                    </m:r>
                    <m:r>
                      <a:rPr lang="es-MX" sz="1100" b="1" i="1">
                        <a:latin typeface="Cambria Math" panose="02040503050406030204" pitchFamily="18" charset="0"/>
                      </a:rPr>
                      <m:t> </m:t>
                    </m:r>
                    <m:r>
                      <a:rPr lang="es-MX" sz="1100" b="1" i="1">
                        <a:latin typeface="Cambria Math" panose="02040503050406030204" pitchFamily="18" charset="0"/>
                      </a:rPr>
                      <m:t>𝒂𝒏𝒖𝒂𝒍𝒊𝒅𝒂𝒅</m:t>
                    </m:r>
                    <m:r>
                      <a:rPr lang="es-MX" sz="1100" b="1" i="1">
                        <a:latin typeface="Cambria Math" panose="02040503050406030204" pitchFamily="18" charset="0"/>
                      </a:rPr>
                      <m:t> </m:t>
                    </m:r>
                    <m:r>
                      <a:rPr lang="es-MX" sz="1100" b="1" i="1">
                        <a:latin typeface="Cambria Math" panose="02040503050406030204" pitchFamily="18" charset="0"/>
                      </a:rPr>
                      <m:t>𝒄𝒓𝒆𝒄𝒊𝒆𝒏𝒕𝒆</m:t>
                    </m:r>
                  </m:oMath>
                </m:oMathPara>
              </a14:m>
              <a:endParaRPr lang="es-MX" sz="1100" b="1"/>
            </a:p>
          </xdr:txBody>
        </xdr:sp>
      </mc:Choice>
      <mc:Fallback xmlns="">
        <xdr:sp macro="" textlink="">
          <xdr:nvSpPr>
            <xdr:cNvPr id="3" name="CuadroTexto 2">
              <a:extLst>
                <a:ext uri="{FF2B5EF4-FFF2-40B4-BE49-F238E27FC236}">
                  <a16:creationId xmlns:a16="http://schemas.microsoft.com/office/drawing/2014/main" id="{A62F14DB-385F-44F3-9B68-7F27EFEED38B}"/>
                </a:ext>
              </a:extLst>
            </xdr:cNvPr>
            <xdr:cNvSpPr txBox="1"/>
          </xdr:nvSpPr>
          <xdr:spPr>
            <a:xfrm>
              <a:off x="12363450" y="7253287"/>
              <a:ext cx="30149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𝑽𝒂𝒍𝒐𝒓 𝒑𝒓𝒆𝒔𝒆𝒏𝒕𝒆 𝒅𝒆 𝒖𝒏𝒂 𝒂𝒏𝒖𝒂𝒍𝒊𝒅𝒂𝒅 𝒄𝒓𝒆𝒄𝒊𝒆𝒏𝒕𝒆</a:t>
              </a:r>
              <a:endParaRPr lang="es-MX" sz="1100" b="1"/>
            </a:p>
          </xdr:txBody>
        </xdr:sp>
      </mc:Fallback>
    </mc:AlternateContent>
    <xdr:clientData/>
  </xdr:oneCellAnchor>
  <xdr:oneCellAnchor>
    <xdr:from>
      <xdr:col>16</xdr:col>
      <xdr:colOff>314325</xdr:colOff>
      <xdr:row>39</xdr:row>
      <xdr:rowOff>33337</xdr:rowOff>
    </xdr:from>
    <xdr:ext cx="1504950" cy="710194"/>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12506325" y="7462837"/>
              <a:ext cx="1504950" cy="7101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r>
                      <a:rPr lang="es-MX" sz="1100" b="0" i="1">
                        <a:latin typeface="Cambria Math" panose="02040503050406030204" pitchFamily="18" charset="0"/>
                      </a:rPr>
                      <m:t>𝐶</m:t>
                    </m:r>
                    <m:d>
                      <m:dPr>
                        <m:begChr m:val="["/>
                        <m:endChr m:val="]"/>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m:t>
                            </m:r>
                            <m:sSup>
                              <m:sSupPr>
                                <m:ctrlPr>
                                  <a:rPr lang="es-MX" sz="1100" b="0" i="1">
                                    <a:latin typeface="Cambria Math" panose="02040503050406030204" pitchFamily="18" charset="0"/>
                                  </a:rPr>
                                </m:ctrlPr>
                              </m:sSup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m:t>
                                        </m:r>
                                        <m:r>
                                          <a:rPr lang="es-MX" sz="1100" b="0" i="1">
                                            <a:latin typeface="Cambria Math" panose="02040503050406030204" pitchFamily="18" charset="0"/>
                                          </a:rPr>
                                          <m:t>𝑔</m:t>
                                        </m:r>
                                      </m:num>
                                      <m:den>
                                        <m:r>
                                          <a:rPr lang="es-MX" sz="1100" b="0" i="1">
                                            <a:latin typeface="Cambria Math" panose="02040503050406030204" pitchFamily="18" charset="0"/>
                                          </a:rPr>
                                          <m:t>1+</m:t>
                                        </m:r>
                                        <m:r>
                                          <a:rPr lang="es-MX" sz="1100" b="0" i="1">
                                            <a:latin typeface="Cambria Math" panose="02040503050406030204" pitchFamily="18" charset="0"/>
                                          </a:rPr>
                                          <m:t>𝑟</m:t>
                                        </m:r>
                                      </m:den>
                                    </m:f>
                                  </m:e>
                                </m:d>
                              </m:e>
                              <m:sup>
                                <m:r>
                                  <a:rPr lang="es-MX" sz="1100" b="0" i="1">
                                    <a:latin typeface="Cambria Math" panose="02040503050406030204" pitchFamily="18" charset="0"/>
                                  </a:rPr>
                                  <m:t>𝑇</m:t>
                                </m:r>
                              </m:sup>
                            </m:sSup>
                          </m:num>
                          <m:den>
                            <m:r>
                              <a:rPr lang="es-MX" sz="1100" b="0" i="1">
                                <a:latin typeface="Cambria Math" panose="02040503050406030204" pitchFamily="18" charset="0"/>
                              </a:rPr>
                              <m:t>𝑟</m:t>
                            </m:r>
                            <m:r>
                              <a:rPr lang="es-MX" sz="1100" b="0" i="1">
                                <a:latin typeface="Cambria Math" panose="02040503050406030204" pitchFamily="18" charset="0"/>
                              </a:rPr>
                              <m:t>−</m:t>
                            </m:r>
                            <m:r>
                              <a:rPr lang="es-MX" sz="1100" b="0" i="1">
                                <a:latin typeface="Cambria Math" panose="02040503050406030204" pitchFamily="18" charset="0"/>
                              </a:rPr>
                              <m:t>𝑔</m:t>
                            </m:r>
                          </m:den>
                        </m:f>
                      </m:e>
                    </m:d>
                  </m:oMath>
                </m:oMathPara>
              </a14:m>
              <a:endParaRPr lang="es-MX" sz="1100" b="0"/>
            </a:p>
            <a:p>
              <a:endParaRPr lang="es-MX" sz="1100"/>
            </a:p>
          </xdr:txBody>
        </xdr:sp>
      </mc:Choice>
      <mc:Fallback xmlns="">
        <xdr:sp macro="" textlink="">
          <xdr:nvSpPr>
            <xdr:cNvPr id="4" name="CuadroTexto 3">
              <a:extLst>
                <a:ext uri="{FF2B5EF4-FFF2-40B4-BE49-F238E27FC236}">
                  <a16:creationId xmlns:a16="http://schemas.microsoft.com/office/drawing/2014/main" id="{407C4744-6937-41D8-9D98-245A1BB98D8C}"/>
                </a:ext>
              </a:extLst>
            </xdr:cNvPr>
            <xdr:cNvSpPr txBox="1"/>
          </xdr:nvSpPr>
          <xdr:spPr>
            <a:xfrm>
              <a:off x="12506325" y="7462837"/>
              <a:ext cx="1504950" cy="7101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𝑉𝑃=𝐶[(1−((1+𝑔)/(1+𝑟))^𝑇)/(𝑟−𝑔)]</a:t>
              </a:r>
              <a:endParaRPr lang="es-MX" sz="1100" b="0"/>
            </a:p>
            <a:p>
              <a:endParaRPr lang="es-MX" sz="1100"/>
            </a:p>
          </xdr:txBody>
        </xdr:sp>
      </mc:Fallback>
    </mc:AlternateContent>
    <xdr:clientData/>
  </xdr:oneCellAnchor>
  <xdr:oneCellAnchor>
    <xdr:from>
      <xdr:col>16</xdr:col>
      <xdr:colOff>57150</xdr:colOff>
      <xdr:row>43</xdr:row>
      <xdr:rowOff>23812</xdr:rowOff>
    </xdr:from>
    <xdr:ext cx="1195840" cy="172227"/>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12249150" y="8215312"/>
              <a:ext cx="119584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solidFill>
                          <a:srgbClr val="7030A0"/>
                        </a:solidFill>
                        <a:latin typeface="Cambria Math" panose="02040503050406030204" pitchFamily="18" charset="0"/>
                      </a:rPr>
                      <m:t>𝑨𝒏</m:t>
                    </m:r>
                    <m:r>
                      <a:rPr lang="es-MX" sz="1100" b="1" i="1">
                        <a:solidFill>
                          <a:srgbClr val="7030A0"/>
                        </a:solidFill>
                        <a:latin typeface="Cambria Math" panose="02040503050406030204" pitchFamily="18" charset="0"/>
                      </a:rPr>
                      <m:t>á</m:t>
                    </m:r>
                    <m:r>
                      <a:rPr lang="es-MX" sz="1100" b="1" i="1">
                        <a:solidFill>
                          <a:srgbClr val="7030A0"/>
                        </a:solidFill>
                        <a:latin typeface="Cambria Math" panose="02040503050406030204" pitchFamily="18" charset="0"/>
                      </a:rPr>
                      <m:t>𝒍𝒊𝒔𝒊𝒔</m:t>
                    </m:r>
                    <m:r>
                      <a:rPr lang="es-MX" sz="1100" b="1" i="1">
                        <a:solidFill>
                          <a:srgbClr val="7030A0"/>
                        </a:solidFill>
                        <a:latin typeface="Cambria Math" panose="02040503050406030204" pitchFamily="18" charset="0"/>
                      </a:rPr>
                      <m:t> </m:t>
                    </m:r>
                    <m:r>
                      <a:rPr lang="es-MX" sz="1100" b="1" i="1">
                        <a:solidFill>
                          <a:srgbClr val="7030A0"/>
                        </a:solidFill>
                        <a:latin typeface="Cambria Math" panose="02040503050406030204" pitchFamily="18" charset="0"/>
                      </a:rPr>
                      <m:t>𝒅𝒆</m:t>
                    </m:r>
                    <m:r>
                      <a:rPr lang="es-MX" sz="1100" b="1" i="1">
                        <a:solidFill>
                          <a:srgbClr val="7030A0"/>
                        </a:solidFill>
                        <a:latin typeface="Cambria Math" panose="02040503050406030204" pitchFamily="18" charset="0"/>
                      </a:rPr>
                      <m:t> </m:t>
                    </m:r>
                    <m:r>
                      <a:rPr lang="es-MX" sz="1100" b="1" i="1">
                        <a:solidFill>
                          <a:srgbClr val="7030A0"/>
                        </a:solidFill>
                        <a:latin typeface="Cambria Math" panose="02040503050406030204" pitchFamily="18" charset="0"/>
                      </a:rPr>
                      <m:t>𝒄𝒂𝒔𝒐𝒔</m:t>
                    </m:r>
                  </m:oMath>
                </m:oMathPara>
              </a14:m>
              <a:endParaRPr lang="es-MX" sz="1100" b="1">
                <a:solidFill>
                  <a:srgbClr val="7030A0"/>
                </a:solidFill>
              </a:endParaRPr>
            </a:p>
          </xdr:txBody>
        </xdr:sp>
      </mc:Choice>
      <mc:Fallback xmlns="">
        <xdr:sp macro="" textlink="">
          <xdr:nvSpPr>
            <xdr:cNvPr id="5" name="CuadroTexto 4">
              <a:extLst>
                <a:ext uri="{FF2B5EF4-FFF2-40B4-BE49-F238E27FC236}">
                  <a16:creationId xmlns:a16="http://schemas.microsoft.com/office/drawing/2014/main" id="{CD207926-A7A8-4309-9742-2DE895480F4A}"/>
                </a:ext>
              </a:extLst>
            </xdr:cNvPr>
            <xdr:cNvSpPr txBox="1"/>
          </xdr:nvSpPr>
          <xdr:spPr>
            <a:xfrm>
              <a:off x="12249150" y="8215312"/>
              <a:ext cx="119584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solidFill>
                    <a:srgbClr val="7030A0"/>
                  </a:solidFill>
                  <a:latin typeface="Cambria Math" panose="02040503050406030204" pitchFamily="18" charset="0"/>
                </a:rPr>
                <a:t>𝑨𝒏á𝒍𝒊𝒔𝒊𝒔 𝒅𝒆 𝒄𝒂𝒔𝒐𝒔</a:t>
              </a:r>
              <a:endParaRPr lang="es-MX" sz="1100" b="1">
                <a:solidFill>
                  <a:srgbClr val="7030A0"/>
                </a:solidFill>
              </a:endParaRPr>
            </a:p>
          </xdr:txBody>
        </xdr:sp>
      </mc:Fallback>
    </mc:AlternateContent>
    <xdr:clientData/>
  </xdr:oneCellAnchor>
  <xdr:oneCellAnchor>
    <xdr:from>
      <xdr:col>16</xdr:col>
      <xdr:colOff>28575</xdr:colOff>
      <xdr:row>44</xdr:row>
      <xdr:rowOff>33337</xdr:rowOff>
    </xdr:from>
    <xdr:ext cx="3225627" cy="172227"/>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12220575" y="8415337"/>
              <a:ext cx="32256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solidFill>
                          <a:srgbClr val="002060"/>
                        </a:solidFill>
                        <a:latin typeface="Cambria Math" panose="02040503050406030204" pitchFamily="18" charset="0"/>
                      </a:rPr>
                      <m:t>𝑪𝒂𝒔𝒐</m:t>
                    </m:r>
                    <m:r>
                      <a:rPr lang="es-MX" sz="1100" b="1" i="1">
                        <a:solidFill>
                          <a:srgbClr val="002060"/>
                        </a:solidFill>
                        <a:latin typeface="Cambria Math" panose="02040503050406030204" pitchFamily="18" charset="0"/>
                      </a:rPr>
                      <m:t> </m:t>
                    </m:r>
                    <m:r>
                      <a:rPr lang="es-MX" sz="1100" b="1" i="1">
                        <a:solidFill>
                          <a:srgbClr val="002060"/>
                        </a:solidFill>
                        <a:latin typeface="Cambria Math" panose="02040503050406030204" pitchFamily="18" charset="0"/>
                      </a:rPr>
                      <m:t>𝟏</m:t>
                    </m:r>
                    <m:r>
                      <a:rPr lang="es-MX" sz="1100" b="0" i="1">
                        <a:solidFill>
                          <a:srgbClr val="002060"/>
                        </a:solidFill>
                        <a:latin typeface="Cambria Math" panose="02040503050406030204" pitchFamily="18" charset="0"/>
                      </a:rPr>
                      <m:t>. </m:t>
                    </m:r>
                    <m:r>
                      <a:rPr lang="es-MX" sz="1100" b="0" i="1">
                        <a:latin typeface="Cambria Math" panose="02040503050406030204" pitchFamily="18" charset="0"/>
                      </a:rPr>
                      <m:t>𝑃𝑒𝑟𝑚𝑎𝑛𝑒𝑐𝑒𝑟</m:t>
                    </m:r>
                    <m:r>
                      <a:rPr lang="es-MX" sz="1100" b="0" i="1">
                        <a:latin typeface="Cambria Math" panose="02040503050406030204" pitchFamily="18" charset="0"/>
                      </a:rPr>
                      <m:t> </m:t>
                    </m:r>
                    <m:r>
                      <a:rPr lang="es-MX" sz="1100" b="0" i="1">
                        <a:latin typeface="Cambria Math" panose="02040503050406030204" pitchFamily="18" charset="0"/>
                      </a:rPr>
                      <m:t>𝑒𝑛</m:t>
                    </m:r>
                    <m:r>
                      <a:rPr lang="es-MX" sz="1100" b="0" i="1">
                        <a:latin typeface="Cambria Math" panose="02040503050406030204" pitchFamily="18" charset="0"/>
                      </a:rPr>
                      <m:t> </m:t>
                    </m:r>
                    <m:r>
                      <a:rPr lang="es-MX" sz="1100" b="0" i="1">
                        <a:latin typeface="Cambria Math" panose="02040503050406030204" pitchFamily="18" charset="0"/>
                      </a:rPr>
                      <m:t>𝑠𝑢</m:t>
                    </m:r>
                    <m:r>
                      <a:rPr lang="es-MX" sz="1100" b="0" i="1">
                        <a:latin typeface="Cambria Math" panose="02040503050406030204" pitchFamily="18" charset="0"/>
                      </a:rPr>
                      <m:t> </m:t>
                    </m:r>
                    <m:r>
                      <a:rPr lang="es-MX" sz="1100" b="0" i="1">
                        <a:latin typeface="Cambria Math" panose="02040503050406030204" pitchFamily="18" charset="0"/>
                      </a:rPr>
                      <m:t>𝑡𝑟𝑎𝑏𝑎𝑗𝑜</m:t>
                    </m:r>
                    <m:r>
                      <a:rPr lang="es-MX" sz="1100" b="0" i="1">
                        <a:latin typeface="Cambria Math" panose="02040503050406030204" pitchFamily="18" charset="0"/>
                      </a:rPr>
                      <m:t> </m:t>
                    </m:r>
                    <m:r>
                      <a:rPr lang="es-MX" sz="1100" b="0" i="1">
                        <a:latin typeface="Cambria Math" panose="02040503050406030204" pitchFamily="18" charset="0"/>
                      </a:rPr>
                      <m:t>𝑑𝑢𝑟𝑎𝑛𝑡𝑒</m:t>
                    </m:r>
                    <m:r>
                      <a:rPr lang="es-MX" sz="1100" b="0" i="1">
                        <a:latin typeface="Cambria Math" panose="02040503050406030204" pitchFamily="18" charset="0"/>
                      </a:rPr>
                      <m:t> 40 </m:t>
                    </m:r>
                    <m:r>
                      <a:rPr lang="es-MX" sz="1100" b="0" i="1">
                        <a:latin typeface="Cambria Math" panose="02040503050406030204" pitchFamily="18" charset="0"/>
                      </a:rPr>
                      <m:t>𝑎</m:t>
                    </m:r>
                    <m:r>
                      <a:rPr lang="es-MX" sz="1100" b="0" i="1">
                        <a:latin typeface="Cambria Math" panose="02040503050406030204" pitchFamily="18" charset="0"/>
                      </a:rPr>
                      <m:t>ñ</m:t>
                    </m:r>
                    <m:r>
                      <a:rPr lang="es-MX" sz="1100" b="0" i="1">
                        <a:latin typeface="Cambria Math" panose="02040503050406030204" pitchFamily="18" charset="0"/>
                      </a:rPr>
                      <m:t>𝑜𝑠</m:t>
                    </m:r>
                  </m:oMath>
                </m:oMathPara>
              </a14:m>
              <a:endParaRPr lang="es-MX" sz="1100"/>
            </a:p>
          </xdr:txBody>
        </xdr:sp>
      </mc:Choice>
      <mc:Fallback xmlns="">
        <xdr:sp macro="" textlink="">
          <xdr:nvSpPr>
            <xdr:cNvPr id="6" name="CuadroTexto 5">
              <a:extLst>
                <a:ext uri="{FF2B5EF4-FFF2-40B4-BE49-F238E27FC236}">
                  <a16:creationId xmlns:a16="http://schemas.microsoft.com/office/drawing/2014/main" id="{D4D02528-E911-45FC-83E8-6C6FF004A07C}"/>
                </a:ext>
              </a:extLst>
            </xdr:cNvPr>
            <xdr:cNvSpPr txBox="1"/>
          </xdr:nvSpPr>
          <xdr:spPr>
            <a:xfrm>
              <a:off x="12220575" y="8415337"/>
              <a:ext cx="322562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solidFill>
                    <a:srgbClr val="002060"/>
                  </a:solidFill>
                  <a:latin typeface="Cambria Math" panose="02040503050406030204" pitchFamily="18" charset="0"/>
                </a:rPr>
                <a:t>𝑪𝒂𝒔𝒐 𝟏</a:t>
              </a:r>
              <a:r>
                <a:rPr lang="es-MX" sz="1100" b="0" i="0">
                  <a:solidFill>
                    <a:srgbClr val="002060"/>
                  </a:solidFill>
                  <a:latin typeface="Cambria Math" panose="02040503050406030204" pitchFamily="18" charset="0"/>
                </a:rPr>
                <a:t>. </a:t>
              </a:r>
              <a:r>
                <a:rPr lang="es-MX" sz="1100" b="0" i="0">
                  <a:latin typeface="Cambria Math" panose="02040503050406030204" pitchFamily="18" charset="0"/>
                </a:rPr>
                <a:t>𝑃𝑒𝑟𝑚𝑎𝑛𝑒𝑐𝑒𝑟 𝑒𝑛 𝑠𝑢 𝑡𝑟𝑎𝑏𝑎𝑗𝑜 𝑑𝑢𝑟𝑎𝑛𝑡𝑒 40 𝑎ñ𝑜𝑠</a:t>
              </a:r>
              <a:endParaRPr lang="es-MX" sz="1100"/>
            </a:p>
          </xdr:txBody>
        </xdr:sp>
      </mc:Fallback>
    </mc:AlternateContent>
    <xdr:clientData/>
  </xdr:oneCellAnchor>
  <xdr:oneCellAnchor>
    <xdr:from>
      <xdr:col>16</xdr:col>
      <xdr:colOff>38100</xdr:colOff>
      <xdr:row>57</xdr:row>
      <xdr:rowOff>180976</xdr:rowOff>
    </xdr:from>
    <xdr:ext cx="3752850" cy="165366"/>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12230100" y="11039476"/>
          <a:ext cx="3752850" cy="16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s-MX" sz="1100" b="1" i="1">
              <a:solidFill>
                <a:srgbClr val="002060"/>
              </a:solidFill>
              <a:latin typeface="Cambria Math" panose="02040503050406030204" pitchFamily="18" charset="0"/>
              <a:ea typeface="+mn-ea"/>
              <a:cs typeface="+mn-cs"/>
            </a:rPr>
            <a:t>Caso 2. </a:t>
          </a:r>
          <a:r>
            <a:rPr lang="es-MX" sz="1100" b="0" i="1">
              <a:solidFill>
                <a:schemeClr val="tx1"/>
              </a:solidFill>
              <a:latin typeface="Cambria Math" panose="02040503050406030204" pitchFamily="18" charset="0"/>
              <a:ea typeface="+mn-ea"/>
              <a:cs typeface="+mn-cs"/>
            </a:rPr>
            <a:t>Ritter College of Business, de la Walton University</a:t>
          </a:r>
        </a:p>
      </xdr:txBody>
    </xdr:sp>
    <xdr:clientData/>
  </xdr:oneCellAnchor>
  <xdr:oneCellAnchor>
    <xdr:from>
      <xdr:col>16</xdr:col>
      <xdr:colOff>9525</xdr:colOff>
      <xdr:row>68</xdr:row>
      <xdr:rowOff>14287</xdr:rowOff>
    </xdr:from>
    <xdr:ext cx="2170979" cy="172227"/>
    <mc:AlternateContent xmlns:mc="http://schemas.openxmlformats.org/markup-compatibility/2006" xmlns:a14="http://schemas.microsoft.com/office/drawing/2010/main">
      <mc:Choice Requires="a14">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12201525" y="12968287"/>
              <a:ext cx="21709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𝑽𝒂𝒍𝒐𝒓</m:t>
                    </m:r>
                    <m:r>
                      <a:rPr lang="es-MX" sz="1100" b="1" i="1">
                        <a:latin typeface="Cambria Math" panose="02040503050406030204" pitchFamily="18" charset="0"/>
                      </a:rPr>
                      <m:t> </m:t>
                    </m:r>
                    <m:r>
                      <a:rPr lang="es-MX" sz="1100" b="1" i="1">
                        <a:latin typeface="Cambria Math" panose="02040503050406030204" pitchFamily="18" charset="0"/>
                      </a:rPr>
                      <m:t>𝒑𝒓𝒆𝒔𝒆𝒏𝒕𝒆</m:t>
                    </m:r>
                    <m:r>
                      <a:rPr lang="es-MX" sz="1100" b="1" i="1">
                        <a:latin typeface="Cambria Math" panose="02040503050406030204" pitchFamily="18" charset="0"/>
                      </a:rPr>
                      <m:t> </m:t>
                    </m:r>
                    <m:r>
                      <a:rPr lang="es-MX" sz="1100" b="1" i="1">
                        <a:latin typeface="Cambria Math" panose="02040503050406030204" pitchFamily="18" charset="0"/>
                      </a:rPr>
                      <m:t>𝒅𝒆</m:t>
                    </m:r>
                    <m:r>
                      <a:rPr lang="es-MX" sz="1100" b="1" i="1">
                        <a:latin typeface="Cambria Math" panose="02040503050406030204" pitchFamily="18" charset="0"/>
                      </a:rPr>
                      <m:t> </m:t>
                    </m:r>
                    <m:r>
                      <a:rPr lang="es-MX" sz="1100" b="1" i="1">
                        <a:latin typeface="Cambria Math" panose="02040503050406030204" pitchFamily="18" charset="0"/>
                      </a:rPr>
                      <m:t>𝒍𝒂</m:t>
                    </m:r>
                    <m:r>
                      <a:rPr lang="es-MX" sz="1100" b="1" i="1">
                        <a:latin typeface="Cambria Math" panose="02040503050406030204" pitchFamily="18" charset="0"/>
                      </a:rPr>
                      <m:t> </m:t>
                    </m:r>
                    <m:r>
                      <a:rPr lang="es-MX" sz="1100" b="1" i="1">
                        <a:latin typeface="Cambria Math" panose="02040503050406030204" pitchFamily="18" charset="0"/>
                      </a:rPr>
                      <m:t>𝒊𝒏𝒗𝒆𝒓𝒔𝒊</m:t>
                    </m:r>
                    <m:r>
                      <a:rPr lang="es-MX" sz="1100" b="1" i="1">
                        <a:latin typeface="Cambria Math" panose="02040503050406030204" pitchFamily="18" charset="0"/>
                      </a:rPr>
                      <m:t>ó</m:t>
                    </m:r>
                    <m:r>
                      <a:rPr lang="es-MX" sz="1100" b="1" i="1">
                        <a:latin typeface="Cambria Math" panose="02040503050406030204" pitchFamily="18" charset="0"/>
                      </a:rPr>
                      <m:t>𝒏</m:t>
                    </m:r>
                    <m:r>
                      <a:rPr lang="es-MX" sz="1100" b="1" i="1">
                        <a:latin typeface="Cambria Math" panose="02040503050406030204" pitchFamily="18" charset="0"/>
                      </a:rPr>
                      <m:t> </m:t>
                    </m:r>
                  </m:oMath>
                </m:oMathPara>
              </a14:m>
              <a:endParaRPr lang="es-MX" sz="1100" b="1"/>
            </a:p>
          </xdr:txBody>
        </xdr:sp>
      </mc:Choice>
      <mc:Fallback xmlns="">
        <xdr:sp macro="" textlink="">
          <xdr:nvSpPr>
            <xdr:cNvPr id="8" name="CuadroTexto 7">
              <a:extLst>
                <a:ext uri="{FF2B5EF4-FFF2-40B4-BE49-F238E27FC236}">
                  <a16:creationId xmlns:a16="http://schemas.microsoft.com/office/drawing/2014/main" id="{3503E8C5-1516-4619-99B0-42BCD7680551}"/>
                </a:ext>
              </a:extLst>
            </xdr:cNvPr>
            <xdr:cNvSpPr txBox="1"/>
          </xdr:nvSpPr>
          <xdr:spPr>
            <a:xfrm>
              <a:off x="12201525" y="12968287"/>
              <a:ext cx="21709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𝑽𝒂𝒍𝒐𝒓 𝒑𝒓𝒆𝒔𝒆𝒏𝒕𝒆 𝒅𝒆 𝒍𝒂 𝒊𝒏𝒗𝒆𝒓𝒔𝒊ó𝒏 </a:t>
              </a:r>
              <a:endParaRPr lang="es-MX" sz="1100" b="1"/>
            </a:p>
          </xdr:txBody>
        </xdr:sp>
      </mc:Fallback>
    </mc:AlternateContent>
    <xdr:clientData/>
  </xdr:oneCellAnchor>
  <xdr:oneCellAnchor>
    <xdr:from>
      <xdr:col>16</xdr:col>
      <xdr:colOff>47625</xdr:colOff>
      <xdr:row>69</xdr:row>
      <xdr:rowOff>42862</xdr:rowOff>
    </xdr:from>
    <xdr:ext cx="711157" cy="320793"/>
    <mc:AlternateContent xmlns:mc="http://schemas.openxmlformats.org/markup-compatibility/2006" xmlns:a14="http://schemas.microsoft.com/office/drawing/2010/main">
      <mc:Choice Requires="a14">
        <xdr:sp macro="" textlink="">
          <xdr:nvSpPr>
            <xdr:cNvPr id="9" name="CuadroTexto 8">
              <a:extLst>
                <a:ext uri="{FF2B5EF4-FFF2-40B4-BE49-F238E27FC236}">
                  <a16:creationId xmlns:a16="http://schemas.microsoft.com/office/drawing/2014/main" id="{00000000-0008-0000-0100-000009000000}"/>
                </a:ext>
              </a:extLst>
            </xdr:cNvPr>
            <xdr:cNvSpPr txBox="1"/>
          </xdr:nvSpPr>
          <xdr:spPr>
            <a:xfrm>
              <a:off x="12239625" y="13187362"/>
              <a:ext cx="711157" cy="320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num>
                      <m:den>
                        <m:r>
                          <a:rPr lang="es-MX" sz="1100" b="0" i="1">
                            <a:latin typeface="Cambria Math" panose="02040503050406030204" pitchFamily="18" charset="0"/>
                          </a:rPr>
                          <m:t>1+</m:t>
                        </m:r>
                        <m:r>
                          <a:rPr lang="es-MX" sz="1100" b="0" i="1">
                            <a:latin typeface="Cambria Math" panose="02040503050406030204" pitchFamily="18" charset="0"/>
                          </a:rPr>
                          <m:t>𝑟</m:t>
                        </m:r>
                      </m:den>
                    </m:f>
                  </m:oMath>
                </m:oMathPara>
              </a14:m>
              <a:endParaRPr lang="es-MX" sz="1100"/>
            </a:p>
          </xdr:txBody>
        </xdr:sp>
      </mc:Choice>
      <mc:Fallback xmlns="">
        <xdr:sp macro="" textlink="">
          <xdr:nvSpPr>
            <xdr:cNvPr id="9" name="CuadroTexto 8">
              <a:extLst>
                <a:ext uri="{FF2B5EF4-FFF2-40B4-BE49-F238E27FC236}">
                  <a16:creationId xmlns:a16="http://schemas.microsoft.com/office/drawing/2014/main" id="{69A03A86-D0C2-46AE-89B5-57FE1A32A7F0}"/>
                </a:ext>
              </a:extLst>
            </xdr:cNvPr>
            <xdr:cNvSpPr txBox="1"/>
          </xdr:nvSpPr>
          <xdr:spPr>
            <a:xfrm>
              <a:off x="12239625" y="13187362"/>
              <a:ext cx="711157" cy="320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𝑉𝑃=𝐶/(1+𝑟)</a:t>
              </a:r>
              <a:endParaRPr lang="es-MX" sz="1100"/>
            </a:p>
          </xdr:txBody>
        </xdr:sp>
      </mc:Fallback>
    </mc:AlternateContent>
    <xdr:clientData/>
  </xdr:oneCellAnchor>
  <xdr:oneCellAnchor>
    <xdr:from>
      <xdr:col>16</xdr:col>
      <xdr:colOff>28575</xdr:colOff>
      <xdr:row>75</xdr:row>
      <xdr:rowOff>23813</xdr:rowOff>
    </xdr:from>
    <xdr:ext cx="3142399" cy="185738"/>
    <mc:AlternateContent xmlns:mc="http://schemas.openxmlformats.org/markup-compatibility/2006" xmlns:a14="http://schemas.microsoft.com/office/drawing/2010/main">
      <mc:Choice Requires="a14">
        <xdr:sp macro="" textlink="">
          <xdr:nvSpPr>
            <xdr:cNvPr id="10" name="CuadroTexto 9">
              <a:extLst>
                <a:ext uri="{FF2B5EF4-FFF2-40B4-BE49-F238E27FC236}">
                  <a16:creationId xmlns:a16="http://schemas.microsoft.com/office/drawing/2014/main" id="{00000000-0008-0000-0100-00000A000000}"/>
                </a:ext>
              </a:extLst>
            </xdr:cNvPr>
            <xdr:cNvSpPr txBox="1"/>
          </xdr:nvSpPr>
          <xdr:spPr>
            <a:xfrm>
              <a:off x="12220575" y="14311313"/>
              <a:ext cx="3142399" cy="185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𝑽𝒂𝒍𝒐𝒓</m:t>
                    </m:r>
                    <m:r>
                      <a:rPr lang="es-MX" sz="1100" b="1" i="1">
                        <a:latin typeface="Cambria Math" panose="02040503050406030204" pitchFamily="18" charset="0"/>
                      </a:rPr>
                      <m:t> </m:t>
                    </m:r>
                    <m:r>
                      <a:rPr lang="es-MX" sz="1100" b="1" i="1">
                        <a:latin typeface="Cambria Math" panose="02040503050406030204" pitchFamily="18" charset="0"/>
                      </a:rPr>
                      <m:t>𝒑𝒓𝒆𝒔𝒆𝒏𝒕𝒆</m:t>
                    </m:r>
                    <m:r>
                      <a:rPr lang="es-MX" sz="1100" b="1" i="1">
                        <a:latin typeface="Cambria Math" panose="02040503050406030204" pitchFamily="18" charset="0"/>
                      </a:rPr>
                      <m:t> </m:t>
                    </m:r>
                    <m:r>
                      <a:rPr lang="es-MX" sz="1100" b="1" i="1">
                        <a:latin typeface="Cambria Math" panose="02040503050406030204" pitchFamily="18" charset="0"/>
                      </a:rPr>
                      <m:t>𝒅𝒆</m:t>
                    </m:r>
                    <m:r>
                      <a:rPr lang="es-MX" sz="1100" b="1" i="1">
                        <a:latin typeface="Cambria Math" panose="02040503050406030204" pitchFamily="18" charset="0"/>
                      </a:rPr>
                      <m:t> </m:t>
                    </m:r>
                    <m:r>
                      <a:rPr lang="es-MX" sz="1100" b="1" i="1">
                        <a:latin typeface="Cambria Math" panose="02040503050406030204" pitchFamily="18" charset="0"/>
                      </a:rPr>
                      <m:t>𝒖𝒏𝒂</m:t>
                    </m:r>
                    <m:r>
                      <a:rPr lang="es-MX" sz="1100" b="1" i="1">
                        <a:latin typeface="Cambria Math" panose="02040503050406030204" pitchFamily="18" charset="0"/>
                      </a:rPr>
                      <m:t> </m:t>
                    </m:r>
                    <m:r>
                      <a:rPr lang="es-MX" sz="1100" b="1" i="1">
                        <a:latin typeface="Cambria Math" panose="02040503050406030204" pitchFamily="18" charset="0"/>
                      </a:rPr>
                      <m:t>𝒑𝒆𝒓𝒑𝒆𝒕𝒖𝒊𝒅𝒂𝒅</m:t>
                    </m:r>
                    <m:r>
                      <a:rPr lang="es-MX" sz="1100" b="1" i="1">
                        <a:latin typeface="Cambria Math" panose="02040503050406030204" pitchFamily="18" charset="0"/>
                      </a:rPr>
                      <m:t> </m:t>
                    </m:r>
                    <m:r>
                      <a:rPr lang="es-MX" sz="1100" b="1" i="1">
                        <a:latin typeface="Cambria Math" panose="02040503050406030204" pitchFamily="18" charset="0"/>
                      </a:rPr>
                      <m:t>𝒄𝒓𝒆𝒄𝒊𝒆𝒏𝒕𝒆</m:t>
                    </m:r>
                  </m:oMath>
                </m:oMathPara>
              </a14:m>
              <a:endParaRPr lang="es-MX" sz="1100"/>
            </a:p>
          </xdr:txBody>
        </xdr:sp>
      </mc:Choice>
      <mc:Fallback xmlns="">
        <xdr:sp macro="" textlink="">
          <xdr:nvSpPr>
            <xdr:cNvPr id="10" name="CuadroTexto 9">
              <a:extLst>
                <a:ext uri="{FF2B5EF4-FFF2-40B4-BE49-F238E27FC236}">
                  <a16:creationId xmlns:a16="http://schemas.microsoft.com/office/drawing/2014/main" id="{E555772D-0EF4-421F-80D2-9946BA6E7875}"/>
                </a:ext>
              </a:extLst>
            </xdr:cNvPr>
            <xdr:cNvSpPr txBox="1"/>
          </xdr:nvSpPr>
          <xdr:spPr>
            <a:xfrm>
              <a:off x="12220575" y="14311313"/>
              <a:ext cx="3142399" cy="185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s-MX" sz="1100" b="1" i="0">
                  <a:latin typeface="Cambria Math" panose="02040503050406030204" pitchFamily="18" charset="0"/>
                </a:rPr>
                <a:t>𝑽𝒂𝒍𝒐𝒓 𝒑𝒓𝒆𝒔𝒆𝒏𝒕𝒆 𝒅𝒆 𝒖𝒏𝒂 𝒑𝒆𝒓𝒑𝒆𝒕𝒖𝒊𝒅𝒂𝒅 𝒄𝒓𝒆𝒄𝒊𝒆𝒏𝒕𝒆</a:t>
              </a:r>
              <a:endParaRPr lang="es-MX" sz="1100"/>
            </a:p>
          </xdr:txBody>
        </xdr:sp>
      </mc:Fallback>
    </mc:AlternateContent>
    <xdr:clientData/>
  </xdr:oneCellAnchor>
  <xdr:oneCellAnchor>
    <xdr:from>
      <xdr:col>16</xdr:col>
      <xdr:colOff>28575</xdr:colOff>
      <xdr:row>76</xdr:row>
      <xdr:rowOff>61912</xdr:rowOff>
    </xdr:from>
    <xdr:ext cx="1421735" cy="352469"/>
    <mc:AlternateContent xmlns:mc="http://schemas.openxmlformats.org/markup-compatibility/2006" xmlns:a14="http://schemas.microsoft.com/office/drawing/2010/main">
      <mc:Choice Requires="a14">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12220575" y="14539912"/>
              <a:ext cx="1421735" cy="3524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𝐶</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den>
                    </m:f>
                    <m:r>
                      <a:rPr lang="es-MX" sz="1100" b="0" i="1">
                        <a:solidFill>
                          <a:schemeClr val="tx1"/>
                        </a:solidFill>
                        <a:effectLst/>
                        <a:latin typeface="Cambria Math" panose="02040503050406030204" pitchFamily="18" charset="0"/>
                        <a:ea typeface="+mn-ea"/>
                        <a:cs typeface="+mn-cs"/>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r>
                          <a:rPr lang="es-MX" sz="1100" b="0" i="1">
                            <a:latin typeface="Cambria Math" panose="02040503050406030204" pitchFamily="18" charset="0"/>
                          </a:rPr>
                          <m:t>(1+</m:t>
                        </m:r>
                        <m:r>
                          <a:rPr lang="es-MX" sz="1100" b="0" i="1">
                            <a:latin typeface="Cambria Math" panose="02040503050406030204" pitchFamily="18" charset="0"/>
                          </a:rPr>
                          <m:t>𝑔</m:t>
                        </m:r>
                        <m:r>
                          <a:rPr lang="es-MX" sz="1100" b="0" i="1">
                            <a:latin typeface="Cambria Math" panose="02040503050406030204" pitchFamily="18" charset="0"/>
                          </a:rPr>
                          <m:t>)</m:t>
                        </m:r>
                      </m:num>
                      <m:den>
                        <m:sSup>
                          <m:sSupPr>
                            <m:ctrlPr>
                              <a:rPr lang="es-MX" sz="1100" b="0" i="1">
                                <a:latin typeface="Cambria Math" panose="02040503050406030204" pitchFamily="18" charset="0"/>
                              </a:rPr>
                            </m:ctrlPr>
                          </m:sSupPr>
                          <m:e>
                            <m:r>
                              <a:rPr lang="es-MX" sz="1100" b="0" i="1">
                                <a:latin typeface="Cambria Math" panose="02040503050406030204" pitchFamily="18" charset="0"/>
                              </a:rPr>
                              <m:t>(1+</m:t>
                            </m:r>
                            <m:r>
                              <a:rPr lang="es-MX" sz="1100" b="0" i="1">
                                <a:latin typeface="Cambria Math" panose="02040503050406030204" pitchFamily="18" charset="0"/>
                              </a:rPr>
                              <m:t>𝑟</m:t>
                            </m:r>
                            <m:r>
                              <a:rPr lang="es-MX" sz="1100" b="0" i="1">
                                <a:latin typeface="Cambria Math" panose="02040503050406030204" pitchFamily="18" charset="0"/>
                              </a:rPr>
                              <m:t>)</m:t>
                            </m:r>
                          </m:e>
                          <m:sup>
                            <m:r>
                              <a:rPr lang="es-MX" sz="1100" b="0" i="1">
                                <a:latin typeface="Cambria Math" panose="02040503050406030204" pitchFamily="18" charset="0"/>
                              </a:rPr>
                              <m:t>2</m:t>
                            </m:r>
                          </m:sup>
                        </m:sSup>
                      </m:den>
                    </m:f>
                  </m:oMath>
                </m:oMathPara>
              </a14:m>
              <a:endParaRPr lang="es-MX" sz="1100" i="0"/>
            </a:p>
          </xdr:txBody>
        </xdr:sp>
      </mc:Choice>
      <mc:Fallback xmlns="">
        <xdr:sp macro="" textlink="">
          <xdr:nvSpPr>
            <xdr:cNvPr id="11" name="CuadroTexto 10">
              <a:extLst>
                <a:ext uri="{FF2B5EF4-FFF2-40B4-BE49-F238E27FC236}">
                  <a16:creationId xmlns:a16="http://schemas.microsoft.com/office/drawing/2014/main" id="{7CB49834-EF3C-4D1A-B5BA-F43722135A19}"/>
                </a:ext>
              </a:extLst>
            </xdr:cNvPr>
            <xdr:cNvSpPr txBox="1"/>
          </xdr:nvSpPr>
          <xdr:spPr>
            <a:xfrm>
              <a:off x="12220575" y="14539912"/>
              <a:ext cx="1421735" cy="3524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a:t>
              </a:r>
              <a:r>
                <a:rPr lang="es-MX" sz="1100" b="0" i="0">
                  <a:solidFill>
                    <a:schemeClr val="tx1"/>
                  </a:solidFill>
                  <a:effectLst/>
                  <a:latin typeface="Cambria Math" panose="02040503050406030204" pitchFamily="18" charset="0"/>
                  <a:ea typeface="+mn-ea"/>
                  <a:cs typeface="+mn-cs"/>
                </a:rPr>
                <a:t>𝐶/(1+𝑟)+</a:t>
              </a:r>
              <a:r>
                <a:rPr lang="es-MX" sz="1100" b="0" i="0">
                  <a:latin typeface="Cambria Math" panose="02040503050406030204" pitchFamily="18" charset="0"/>
                </a:rPr>
                <a:t>(𝐶(1+𝑔))/〖(1+𝑟)〗^2 </a:t>
              </a:r>
              <a:endParaRPr lang="es-MX" sz="1100" i="0"/>
            </a:p>
          </xdr:txBody>
        </xdr:sp>
      </mc:Fallback>
    </mc:AlternateContent>
    <xdr:clientData/>
  </xdr:oneCellAnchor>
  <xdr:oneCellAnchor>
    <xdr:from>
      <xdr:col>16</xdr:col>
      <xdr:colOff>9525</xdr:colOff>
      <xdr:row>74</xdr:row>
      <xdr:rowOff>33337</xdr:rowOff>
    </xdr:from>
    <xdr:ext cx="3213187" cy="172227"/>
    <mc:AlternateContent xmlns:mc="http://schemas.openxmlformats.org/markup-compatibility/2006" xmlns:a14="http://schemas.microsoft.com/office/drawing/2010/main">
      <mc:Choice Requires="a14">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12201525" y="14130337"/>
              <a:ext cx="321318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𝑽𝒂𝒍𝒐𝒓</m:t>
                    </m:r>
                    <m:r>
                      <a:rPr lang="es-MX" sz="1100" b="1" i="1">
                        <a:latin typeface="Cambria Math" panose="02040503050406030204" pitchFamily="18" charset="0"/>
                      </a:rPr>
                      <m:t> </m:t>
                    </m:r>
                    <m:r>
                      <a:rPr lang="es-MX" sz="1100" b="1" i="1">
                        <a:latin typeface="Cambria Math" panose="02040503050406030204" pitchFamily="18" charset="0"/>
                      </a:rPr>
                      <m:t>𝒑𝒓𝒆𝒔𝒆𝒏𝒕𝒆</m:t>
                    </m:r>
                    <m:r>
                      <a:rPr lang="es-MX" sz="1100" b="1" i="1">
                        <a:latin typeface="Cambria Math" panose="02040503050406030204" pitchFamily="18" charset="0"/>
                      </a:rPr>
                      <m:t> </m:t>
                    </m:r>
                    <m:r>
                      <a:rPr lang="es-MX" sz="1100" b="1" i="1">
                        <a:latin typeface="Cambria Math" panose="02040503050406030204" pitchFamily="18" charset="0"/>
                      </a:rPr>
                      <m:t>𝒅𝒆</m:t>
                    </m:r>
                    <m:r>
                      <a:rPr lang="es-MX" sz="1100" b="1" i="1">
                        <a:latin typeface="Cambria Math" panose="02040503050406030204" pitchFamily="18" charset="0"/>
                      </a:rPr>
                      <m:t> </m:t>
                    </m:r>
                    <m:r>
                      <a:rPr lang="es-MX" sz="1100" b="1" i="1">
                        <a:latin typeface="Cambria Math" panose="02040503050406030204" pitchFamily="18" charset="0"/>
                      </a:rPr>
                      <m:t>𝒄𝒐𝒔𝒕𝒐𝒔</m:t>
                    </m:r>
                    <m:r>
                      <a:rPr lang="es-MX" sz="1100" b="1" i="1">
                        <a:latin typeface="Cambria Math" panose="02040503050406030204" pitchFamily="18" charset="0"/>
                      </a:rPr>
                      <m:t> </m:t>
                    </m:r>
                    <m:r>
                      <a:rPr lang="es-MX" sz="1100" b="1" i="1">
                        <a:latin typeface="Cambria Math" panose="02040503050406030204" pitchFamily="18" charset="0"/>
                      </a:rPr>
                      <m:t>𝒊𝒏𝒅𝒊𝒓𝒆𝒄𝒕𝒐𝒔</m:t>
                    </m:r>
                    <m:r>
                      <a:rPr lang="es-MX" sz="1100" b="1" i="1">
                        <a:latin typeface="Cambria Math" panose="02040503050406030204" pitchFamily="18" charset="0"/>
                      </a:rPr>
                      <m:t> (</m:t>
                    </m:r>
                    <m:r>
                      <a:rPr lang="es-MX" sz="1100" b="1" i="1">
                        <a:latin typeface="Cambria Math" panose="02040503050406030204" pitchFamily="18" charset="0"/>
                      </a:rPr>
                      <m:t>𝒔𝒂𝒍𝒂𝒓𝒊𝒐𝒔</m:t>
                    </m:r>
                    <m:r>
                      <a:rPr lang="es-MX" sz="1100" b="1" i="1">
                        <a:latin typeface="Cambria Math" panose="02040503050406030204" pitchFamily="18" charset="0"/>
                      </a:rPr>
                      <m:t>)</m:t>
                    </m:r>
                  </m:oMath>
                </m:oMathPara>
              </a14:m>
              <a:endParaRPr lang="es-MX" sz="1100" b="1"/>
            </a:p>
          </xdr:txBody>
        </xdr:sp>
      </mc:Choice>
      <mc:Fallback xmlns="">
        <xdr:sp macro="" textlink="">
          <xdr:nvSpPr>
            <xdr:cNvPr id="12" name="CuadroTexto 11">
              <a:extLst>
                <a:ext uri="{FF2B5EF4-FFF2-40B4-BE49-F238E27FC236}">
                  <a16:creationId xmlns:a16="http://schemas.microsoft.com/office/drawing/2014/main" id="{ABFDA71B-3231-4A39-BEED-63BCEF8BF8EA}"/>
                </a:ext>
              </a:extLst>
            </xdr:cNvPr>
            <xdr:cNvSpPr txBox="1"/>
          </xdr:nvSpPr>
          <xdr:spPr>
            <a:xfrm>
              <a:off x="12201525" y="14130337"/>
              <a:ext cx="321318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𝑽𝒂𝒍𝒐𝒓 𝒑𝒓𝒆𝒔𝒆𝒏𝒕𝒆 𝒅𝒆 𝒄𝒐𝒔𝒕𝒐𝒔 𝒊𝒏𝒅𝒊𝒓𝒆𝒄𝒕𝒐𝒔 (𝒔𝒂𝒍𝒂𝒓𝒊𝒐𝒔)</a:t>
              </a:r>
              <a:endParaRPr lang="es-MX" sz="1100" b="1"/>
            </a:p>
          </xdr:txBody>
        </xdr:sp>
      </mc:Fallback>
    </mc:AlternateContent>
    <xdr:clientData/>
  </xdr:oneCellAnchor>
  <xdr:oneCellAnchor>
    <xdr:from>
      <xdr:col>16</xdr:col>
      <xdr:colOff>952500</xdr:colOff>
      <xdr:row>83</xdr:row>
      <xdr:rowOff>23812</xdr:rowOff>
    </xdr:from>
    <xdr:ext cx="928716" cy="358368"/>
    <mc:AlternateContent xmlns:mc="http://schemas.openxmlformats.org/markup-compatibility/2006" xmlns:a14="http://schemas.microsoft.com/office/drawing/2010/main">
      <mc:Choice Requires="a14">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12954000" y="15835312"/>
              <a:ext cx="928716" cy="358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num>
                      <m:den>
                        <m:sSup>
                          <m:sSupPr>
                            <m:ctrlPr>
                              <a:rPr lang="es-MX" sz="1100" b="0" i="1">
                                <a:latin typeface="Cambria Math" panose="02040503050406030204" pitchFamily="18" charset="0"/>
                              </a:rPr>
                            </m:ctrlPr>
                          </m:sSupPr>
                          <m:e>
                            <m:r>
                              <a:rPr lang="es-MX" sz="1100" b="0" i="1">
                                <a:latin typeface="Cambria Math" panose="02040503050406030204" pitchFamily="18" charset="0"/>
                              </a:rPr>
                              <m:t>(1+</m:t>
                            </m:r>
                            <m:r>
                              <a:rPr lang="es-MX" sz="1100" b="0" i="1">
                                <a:latin typeface="Cambria Math" panose="02040503050406030204" pitchFamily="18" charset="0"/>
                              </a:rPr>
                              <m:t>𝑟</m:t>
                            </m:r>
                            <m:r>
                              <a:rPr lang="es-MX" sz="1100" b="0" i="1">
                                <a:latin typeface="Cambria Math" panose="02040503050406030204" pitchFamily="18" charset="0"/>
                              </a:rPr>
                              <m:t>)</m:t>
                            </m:r>
                          </m:e>
                          <m:sup>
                            <m:r>
                              <a:rPr lang="es-MX" sz="1100" b="0" i="1">
                                <a:latin typeface="Cambria Math" panose="02040503050406030204" pitchFamily="18" charset="0"/>
                              </a:rPr>
                              <m:t>2</m:t>
                            </m:r>
                          </m:sup>
                        </m:sSup>
                      </m:den>
                    </m:f>
                  </m:oMath>
                </m:oMathPara>
              </a14:m>
              <a:endParaRPr lang="es-MX" sz="1100"/>
            </a:p>
          </xdr:txBody>
        </xdr:sp>
      </mc:Choice>
      <mc:Fallback xmlns="">
        <xdr:sp macro="" textlink="">
          <xdr:nvSpPr>
            <xdr:cNvPr id="13" name="CuadroTexto 12">
              <a:extLst>
                <a:ext uri="{FF2B5EF4-FFF2-40B4-BE49-F238E27FC236}">
                  <a16:creationId xmlns:a16="http://schemas.microsoft.com/office/drawing/2014/main" id="{F2DF0CBE-AB79-4299-9892-EAD31EFB725C}"/>
                </a:ext>
              </a:extLst>
            </xdr:cNvPr>
            <xdr:cNvSpPr txBox="1"/>
          </xdr:nvSpPr>
          <xdr:spPr>
            <a:xfrm>
              <a:off x="12954000" y="15835312"/>
              <a:ext cx="928716" cy="358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𝑉𝑃=𝐶/〖(1+𝑟)〗^2 </a:t>
              </a:r>
              <a:endParaRPr lang="es-MX" sz="1100"/>
            </a:p>
          </xdr:txBody>
        </xdr:sp>
      </mc:Fallback>
    </mc:AlternateContent>
    <xdr:clientData/>
  </xdr:oneCellAnchor>
  <xdr:oneCellAnchor>
    <xdr:from>
      <xdr:col>16</xdr:col>
      <xdr:colOff>114300</xdr:colOff>
      <xdr:row>98</xdr:row>
      <xdr:rowOff>23812</xdr:rowOff>
    </xdr:from>
    <xdr:ext cx="1413849" cy="537968"/>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00000000-0008-0000-0100-00000E000000}"/>
                </a:ext>
              </a:extLst>
            </xdr:cNvPr>
            <xdr:cNvSpPr txBox="1"/>
          </xdr:nvSpPr>
          <xdr:spPr>
            <a:xfrm>
              <a:off x="12306300" y="18692812"/>
              <a:ext cx="1413849" cy="537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𝐶</m:t>
                    </m:r>
                    <m:d>
                      <m:dPr>
                        <m:begChr m:val="["/>
                        <m:endChr m:val="]"/>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sSup>
                              <m:sSupPr>
                                <m:ctrlPr>
                                  <a:rPr lang="es-MX" sz="1100" b="0" i="1">
                                    <a:solidFill>
                                      <a:schemeClr val="tx1"/>
                                    </a:solidFill>
                                    <a:effectLst/>
                                    <a:latin typeface="Cambria Math" panose="02040503050406030204" pitchFamily="18" charset="0"/>
                                    <a:ea typeface="+mn-ea"/>
                                    <a:cs typeface="+mn-cs"/>
                                  </a:rPr>
                                </m:ctrlPr>
                              </m:sSupPr>
                              <m:e>
                                <m:d>
                                  <m:dPr>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𝑔</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den>
                                    </m:f>
                                  </m:e>
                                </m:d>
                              </m:e>
                              <m:sup>
                                <m:r>
                                  <a:rPr lang="es-MX" sz="1100" b="0" i="1">
                                    <a:solidFill>
                                      <a:schemeClr val="tx1"/>
                                    </a:solidFill>
                                    <a:effectLst/>
                                    <a:latin typeface="Cambria Math" panose="02040503050406030204" pitchFamily="18" charset="0"/>
                                    <a:ea typeface="+mn-ea"/>
                                    <a:cs typeface="+mn-cs"/>
                                  </a:rPr>
                                  <m:t>𝑇</m:t>
                                </m:r>
                              </m:sup>
                            </m:sSup>
                          </m:num>
                          <m:den>
                            <m:r>
                              <a:rPr lang="es-MX" sz="1100" b="0" i="1">
                                <a:solidFill>
                                  <a:schemeClr val="tx1"/>
                                </a:solidFill>
                                <a:effectLst/>
                                <a:latin typeface="Cambria Math" panose="02040503050406030204" pitchFamily="18" charset="0"/>
                                <a:ea typeface="+mn-ea"/>
                                <a:cs typeface="+mn-cs"/>
                              </a:rPr>
                              <m:t>𝑟</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𝑔</m:t>
                            </m:r>
                          </m:den>
                        </m:f>
                      </m:e>
                    </m:d>
                  </m:oMath>
                </m:oMathPara>
              </a14:m>
              <a:endParaRPr lang="es-MX" sz="1100"/>
            </a:p>
          </xdr:txBody>
        </xdr:sp>
      </mc:Choice>
      <mc:Fallback xmlns="">
        <xdr:sp macro="" textlink="">
          <xdr:nvSpPr>
            <xdr:cNvPr id="14" name="CuadroTexto 13">
              <a:extLst>
                <a:ext uri="{FF2B5EF4-FFF2-40B4-BE49-F238E27FC236}">
                  <a16:creationId xmlns:a16="http://schemas.microsoft.com/office/drawing/2014/main" id="{CFB326B4-D03D-43D1-BEF6-9F652BB4C93D}"/>
                </a:ext>
              </a:extLst>
            </xdr:cNvPr>
            <xdr:cNvSpPr txBox="1"/>
          </xdr:nvSpPr>
          <xdr:spPr>
            <a:xfrm>
              <a:off x="12306300" y="18692812"/>
              <a:ext cx="1413849" cy="537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a:t>
              </a:r>
              <a:r>
                <a:rPr lang="es-MX" sz="1100" b="0" i="0">
                  <a:solidFill>
                    <a:schemeClr val="tx1"/>
                  </a:solidFill>
                  <a:effectLst/>
                  <a:latin typeface="Cambria Math" panose="02040503050406030204" pitchFamily="18" charset="0"/>
                  <a:ea typeface="+mn-ea"/>
                  <a:cs typeface="+mn-cs"/>
                </a:rPr>
                <a:t>=𝐶[(1−((1+𝑔)/(1+𝑟))^𝑇)/(𝑟−𝑔)]</a:t>
              </a:r>
              <a:endParaRPr lang="es-MX" sz="1100"/>
            </a:p>
          </xdr:txBody>
        </xdr:sp>
      </mc:Fallback>
    </mc:AlternateContent>
    <xdr:clientData/>
  </xdr:oneCellAnchor>
  <xdr:oneCellAnchor>
    <xdr:from>
      <xdr:col>16</xdr:col>
      <xdr:colOff>742950</xdr:colOff>
      <xdr:row>110</xdr:row>
      <xdr:rowOff>0</xdr:rowOff>
    </xdr:from>
    <xdr:ext cx="928716" cy="358368"/>
    <mc:AlternateContent xmlns:mc="http://schemas.openxmlformats.org/markup-compatibility/2006" xmlns:a14="http://schemas.microsoft.com/office/drawing/2010/main">
      <mc:Choice Requires="a14">
        <xdr:sp macro="" textlink="">
          <xdr:nvSpPr>
            <xdr:cNvPr id="15" name="CuadroTexto 14">
              <a:extLst>
                <a:ext uri="{FF2B5EF4-FFF2-40B4-BE49-F238E27FC236}">
                  <a16:creationId xmlns:a16="http://schemas.microsoft.com/office/drawing/2014/main" id="{00000000-0008-0000-0100-00000F000000}"/>
                </a:ext>
              </a:extLst>
            </xdr:cNvPr>
            <xdr:cNvSpPr txBox="1"/>
          </xdr:nvSpPr>
          <xdr:spPr>
            <a:xfrm>
              <a:off x="12934950" y="20955000"/>
              <a:ext cx="928716" cy="358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num>
                      <m:den>
                        <m:sSup>
                          <m:sSupPr>
                            <m:ctrlPr>
                              <a:rPr lang="es-MX" sz="1100" b="0" i="1">
                                <a:latin typeface="Cambria Math" panose="02040503050406030204" pitchFamily="18" charset="0"/>
                              </a:rPr>
                            </m:ctrlPr>
                          </m:sSupPr>
                          <m:e>
                            <m:r>
                              <a:rPr lang="es-MX" sz="1100" b="0" i="1">
                                <a:latin typeface="Cambria Math" panose="02040503050406030204" pitchFamily="18" charset="0"/>
                              </a:rPr>
                              <m:t>(1+</m:t>
                            </m:r>
                            <m:r>
                              <a:rPr lang="es-MX" sz="1100" b="0" i="1">
                                <a:latin typeface="Cambria Math" panose="02040503050406030204" pitchFamily="18" charset="0"/>
                              </a:rPr>
                              <m:t>𝑟</m:t>
                            </m:r>
                            <m:r>
                              <a:rPr lang="es-MX" sz="1100" b="0" i="1">
                                <a:latin typeface="Cambria Math" panose="02040503050406030204" pitchFamily="18" charset="0"/>
                              </a:rPr>
                              <m:t>)</m:t>
                            </m:r>
                          </m:e>
                          <m:sup>
                            <m:r>
                              <a:rPr lang="es-MX" sz="1100" b="0" i="1">
                                <a:latin typeface="Cambria Math" panose="02040503050406030204" pitchFamily="18" charset="0"/>
                              </a:rPr>
                              <m:t>2</m:t>
                            </m:r>
                          </m:sup>
                        </m:sSup>
                      </m:den>
                    </m:f>
                  </m:oMath>
                </m:oMathPara>
              </a14:m>
              <a:endParaRPr lang="es-MX" sz="1100"/>
            </a:p>
          </xdr:txBody>
        </xdr:sp>
      </mc:Choice>
      <mc:Fallback xmlns="">
        <xdr:sp macro="" textlink="">
          <xdr:nvSpPr>
            <xdr:cNvPr id="15" name="CuadroTexto 14">
              <a:extLst>
                <a:ext uri="{FF2B5EF4-FFF2-40B4-BE49-F238E27FC236}">
                  <a16:creationId xmlns:a16="http://schemas.microsoft.com/office/drawing/2014/main" id="{4EEC5F68-1E80-431C-A7F5-E45EB888C456}"/>
                </a:ext>
              </a:extLst>
            </xdr:cNvPr>
            <xdr:cNvSpPr txBox="1"/>
          </xdr:nvSpPr>
          <xdr:spPr>
            <a:xfrm>
              <a:off x="12934950" y="20955000"/>
              <a:ext cx="928716" cy="358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𝑉𝑃=𝐶/〖(1+𝑟)〗^2 </a:t>
              </a:r>
              <a:endParaRPr lang="es-MX" sz="1100"/>
            </a:p>
          </xdr:txBody>
        </xdr:sp>
      </mc:Fallback>
    </mc:AlternateContent>
    <xdr:clientData/>
  </xdr:oneCellAnchor>
  <xdr:twoCellAnchor>
    <xdr:from>
      <xdr:col>15</xdr:col>
      <xdr:colOff>752475</xdr:colOff>
      <xdr:row>2</xdr:row>
      <xdr:rowOff>190500</xdr:rowOff>
    </xdr:from>
    <xdr:to>
      <xdr:col>22</xdr:col>
      <xdr:colOff>0</xdr:colOff>
      <xdr:row>17</xdr:row>
      <xdr:rowOff>142875</xdr:rowOff>
    </xdr:to>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12182475" y="571500"/>
          <a:ext cx="4581525" cy="2809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a:p>
        <a:p>
          <a:r>
            <a:rPr lang="es-MX" sz="1100">
              <a:solidFill>
                <a:schemeClr val="dk1"/>
              </a:solidFill>
              <a:effectLst/>
              <a:latin typeface="+mn-lt"/>
              <a:ea typeface="+mn-ea"/>
              <a:cs typeface="+mn-cs"/>
            </a:rPr>
            <a:t>Ben actualmente tiene 28 años</a:t>
          </a:r>
          <a:r>
            <a:rPr lang="es-MX" sz="1100" baseline="0">
              <a:solidFill>
                <a:schemeClr val="dk1"/>
              </a:solidFill>
              <a:effectLst/>
              <a:latin typeface="+mn-lt"/>
              <a:ea typeface="+mn-ea"/>
              <a:cs typeface="+mn-cs"/>
            </a:rPr>
            <a:t>, se </a:t>
          </a:r>
          <a:r>
            <a:rPr lang="es-MX" sz="1100"/>
            <a:t>graduó de la universidad hace 6 años</a:t>
          </a:r>
          <a:r>
            <a:rPr lang="es-MX" sz="1100" baseline="0"/>
            <a:t> y q</a:t>
          </a:r>
          <a:r>
            <a:rPr lang="es-MX" sz="1100"/>
            <a:t>uiere trabajar 40 años más después de obtener su título MBA.</a:t>
          </a:r>
        </a:p>
        <a:p>
          <a:endParaRPr lang="es-MX" sz="1100"/>
        </a:p>
        <a:p>
          <a:r>
            <a:rPr lang="es-MX" sz="1100"/>
            <a:t>Su meta es culminar lo más pronto posible sus estudios de posgrado</a:t>
          </a:r>
          <a:r>
            <a:rPr lang="es-MX" sz="1100" baseline="0"/>
            <a:t> para posteriormente tener la oportunidad de aumentar sus ingresos. </a:t>
          </a:r>
        </a:p>
        <a:p>
          <a:endParaRPr lang="es-MX" sz="1100"/>
        </a:p>
        <a:p>
          <a:r>
            <a:rPr lang="es-MX" sz="1100"/>
            <a:t>Dependiendo de la elección de Ben entre las</a:t>
          </a:r>
          <a:r>
            <a:rPr lang="es-MX" sz="1100" baseline="0"/>
            <a:t> dos opciones</a:t>
          </a:r>
          <a:r>
            <a:rPr lang="es-MX" sz="1100"/>
            <a:t>, el MBA durará de 1 a 2 años, por lo cual se estima que Ben a</a:t>
          </a:r>
          <a:r>
            <a:rPr lang="es-MX" sz="1100" baseline="0"/>
            <a:t> sus</a:t>
          </a:r>
          <a:r>
            <a:rPr lang="es-MX" sz="1100"/>
            <a:t> 29 o 30 años empezará a cumplir su objetivo y de esta manera él podrá jubilarse con seguridad a la edad de 69 o 70 años.</a:t>
          </a:r>
        </a:p>
        <a:p>
          <a:endParaRPr lang="es-MX" sz="1100"/>
        </a:p>
        <a:p>
          <a:r>
            <a:rPr lang="es-MX" sz="1100"/>
            <a:t>Considerando que Ben ha trabajado aproximadamente por 5 años, se determina que cuenta con el dinero suficiente para cubrir su maestria.Finalmente la edad de Ben constituye un factor importante dentro de su decisión de obtener un titulo MBA, puesto que a medida que pasa el tiempo Ben puede perder oportunidad de ingresos potenciales más altos y en un futuro podria representar una limitante debido a su edad avanzada.</a:t>
          </a:r>
        </a:p>
        <a:p>
          <a:endParaRPr lang="es-MX" sz="1100"/>
        </a:p>
        <a:p>
          <a:endParaRPr lang="es-MX" sz="1100" baseline="0"/>
        </a:p>
        <a:p>
          <a:endParaRPr lang="es-MX" sz="1100" baseline="0"/>
        </a:p>
      </xdr:txBody>
    </xdr:sp>
    <xdr:clientData/>
  </xdr:twoCellAnchor>
  <xdr:twoCellAnchor>
    <xdr:from>
      <xdr:col>16</xdr:col>
      <xdr:colOff>0</xdr:colOff>
      <xdr:row>20</xdr:row>
      <xdr:rowOff>35718</xdr:rowOff>
    </xdr:from>
    <xdr:to>
      <xdr:col>22</xdr:col>
      <xdr:colOff>47625</xdr:colOff>
      <xdr:row>30</xdr:row>
      <xdr:rowOff>9526</xdr:rowOff>
    </xdr:to>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12192000" y="3845718"/>
          <a:ext cx="4619625" cy="18788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a:effectLst/>
          </a:endParaRPr>
        </a:p>
        <a:p>
          <a:r>
            <a:rPr lang="es-MX" sz="1100">
              <a:solidFill>
                <a:schemeClr val="dk1"/>
              </a:solidFill>
              <a:effectLst/>
              <a:latin typeface="+mn-lt"/>
              <a:ea typeface="+mn-ea"/>
              <a:cs typeface="+mn-cs"/>
            </a:rPr>
            <a:t>Existen varios factores</a:t>
          </a:r>
          <a:r>
            <a:rPr lang="es-MX" sz="1100" baseline="0">
              <a:solidFill>
                <a:schemeClr val="dk1"/>
              </a:solidFill>
              <a:effectLst/>
              <a:latin typeface="+mn-lt"/>
              <a:ea typeface="+mn-ea"/>
              <a:cs typeface="+mn-cs"/>
            </a:rPr>
            <a:t> no cuantificables que pueden afectar la decisión de Ben de obtener un MBA:</a:t>
          </a:r>
          <a:endParaRPr lang="es-MX">
            <a:effectLst/>
          </a:endParaRPr>
        </a:p>
        <a:p>
          <a:r>
            <a:rPr lang="es-MX" sz="1100" baseline="0">
              <a:solidFill>
                <a:schemeClr val="dk1"/>
              </a:solidFill>
              <a:effectLst/>
              <a:latin typeface="+mn-lt"/>
              <a:ea typeface="+mn-ea"/>
              <a:cs typeface="+mn-cs"/>
            </a:rPr>
            <a:t>Las políticas implementadas por ambas escuelas, no permiten que sus estudiantes trabajen mientras están inscritos en el programa MBA. </a:t>
          </a:r>
          <a:endParaRPr lang="es-MX">
            <a:effectLst/>
          </a:endParaRPr>
        </a:p>
        <a:p>
          <a:r>
            <a:rPr lang="es-MX" sz="1100" baseline="0">
              <a:solidFill>
                <a:schemeClr val="dk1"/>
              </a:solidFill>
              <a:effectLst/>
              <a:latin typeface="+mn-lt"/>
              <a:ea typeface="+mn-ea"/>
              <a:cs typeface="+mn-cs"/>
            </a:rPr>
            <a:t>La situación familiar, suponiendo que Ben este casado y tenga hijos, su situación económica no le permitiría estudiar el posgrado debido a que parte de su dinero está destinado a cubrir los gastos de su familia. </a:t>
          </a:r>
          <a:endParaRPr lang="es-MX">
            <a:effectLst/>
          </a:endParaRPr>
        </a:p>
        <a:p>
          <a:r>
            <a:rPr lang="es-MX" sz="1100" baseline="0">
              <a:solidFill>
                <a:schemeClr val="dk1"/>
              </a:solidFill>
              <a:effectLst/>
              <a:latin typeface="+mn-lt"/>
              <a:ea typeface="+mn-ea"/>
              <a:cs typeface="+mn-cs"/>
            </a:rPr>
            <a:t>Dado que Ben no podrá trabajar mientras está en la escuela, tendrá que buscar trabajo y es posible que no lo encuentre inmediatamente después de completar su MBA.</a:t>
          </a:r>
          <a:endParaRPr lang="es-MX">
            <a:effectLst/>
          </a:endParaRPr>
        </a:p>
        <a:p>
          <a:endParaRPr lang="es-MX" sz="1100"/>
        </a:p>
      </xdr:txBody>
    </xdr:sp>
    <xdr:clientData/>
  </xdr:twoCellAnchor>
  <xdr:oneCellAnchor>
    <xdr:from>
      <xdr:col>15</xdr:col>
      <xdr:colOff>752475</xdr:colOff>
      <xdr:row>119</xdr:row>
      <xdr:rowOff>23812</xdr:rowOff>
    </xdr:from>
    <xdr:ext cx="3648563" cy="165366"/>
    <mc:AlternateContent xmlns:mc="http://schemas.openxmlformats.org/markup-compatibility/2006" xmlns:a14="http://schemas.microsoft.com/office/drawing/2010/main">
      <mc:Choice Requires="a14">
        <xdr:sp macro="" textlink="">
          <xdr:nvSpPr>
            <xdr:cNvPr id="18" name="CuadroTexto 17">
              <a:extLst>
                <a:ext uri="{FF2B5EF4-FFF2-40B4-BE49-F238E27FC236}">
                  <a16:creationId xmlns:a16="http://schemas.microsoft.com/office/drawing/2014/main" id="{00000000-0008-0000-0100-000012000000}"/>
                </a:ext>
              </a:extLst>
            </xdr:cNvPr>
            <xdr:cNvSpPr txBox="1"/>
          </xdr:nvSpPr>
          <xdr:spPr>
            <a:xfrm>
              <a:off x="12182475" y="22693312"/>
              <a:ext cx="3648563" cy="16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solidFill>
                          <a:srgbClr val="002060"/>
                        </a:solidFill>
                        <a:latin typeface="Cambria Math" panose="02040503050406030204" pitchFamily="18" charset="0"/>
                        <a:ea typeface="+mn-ea"/>
                        <a:cs typeface="+mn-cs"/>
                      </a:rPr>
                      <m:t>𝑪𝒂𝒔𝒐</m:t>
                    </m:r>
                    <m:r>
                      <a:rPr lang="es-MX" sz="1100" b="1" i="1">
                        <a:solidFill>
                          <a:srgbClr val="002060"/>
                        </a:solidFill>
                        <a:latin typeface="Cambria Math" panose="02040503050406030204" pitchFamily="18" charset="0"/>
                        <a:ea typeface="+mn-ea"/>
                        <a:cs typeface="+mn-cs"/>
                      </a:rPr>
                      <m:t> </m:t>
                    </m:r>
                    <m:r>
                      <a:rPr lang="es-MX" sz="1100" b="1" i="1">
                        <a:solidFill>
                          <a:srgbClr val="002060"/>
                        </a:solidFill>
                        <a:latin typeface="Cambria Math" panose="02040503050406030204" pitchFamily="18" charset="0"/>
                        <a:ea typeface="+mn-ea"/>
                        <a:cs typeface="+mn-cs"/>
                      </a:rPr>
                      <m:t>𝟑</m:t>
                    </m:r>
                    <m:r>
                      <a:rPr lang="es-MX" sz="1100" b="1" i="1">
                        <a:solidFill>
                          <a:srgbClr val="002060"/>
                        </a:solidFill>
                        <a:latin typeface="Cambria Math" panose="02040503050406030204" pitchFamily="18" charset="0"/>
                        <a:ea typeface="+mn-ea"/>
                        <a:cs typeface="+mn-cs"/>
                      </a:rPr>
                      <m:t>.</m:t>
                    </m:r>
                    <m:r>
                      <m:rPr>
                        <m:nor/>
                      </m:rPr>
                      <a:rPr lang="es-MX" sz="1100" b="0" i="1">
                        <a:solidFill>
                          <a:schemeClr val="tx1"/>
                        </a:solidFill>
                        <a:latin typeface="Cambria Math" panose="02040503050406030204" pitchFamily="18" charset="0"/>
                        <a:ea typeface="+mn-ea"/>
                        <a:cs typeface="+mn-cs"/>
                      </a:rPr>
                      <m:t>Bradley</m:t>
                    </m:r>
                    <m:r>
                      <m:rPr>
                        <m:nor/>
                      </m:rPr>
                      <a:rPr lang="es-MX" sz="1100" b="0" i="1">
                        <a:solidFill>
                          <a:schemeClr val="tx1"/>
                        </a:solidFill>
                        <a:latin typeface="Cambria Math" panose="02040503050406030204" pitchFamily="18" charset="0"/>
                        <a:ea typeface="+mn-ea"/>
                        <a:cs typeface="+mn-cs"/>
                      </a:rPr>
                      <m:t> </m:t>
                    </m:r>
                    <m:r>
                      <m:rPr>
                        <m:nor/>
                      </m:rPr>
                      <a:rPr lang="es-MX" sz="1100" b="0" i="1">
                        <a:solidFill>
                          <a:schemeClr val="tx1"/>
                        </a:solidFill>
                        <a:latin typeface="Cambria Math" panose="02040503050406030204" pitchFamily="18" charset="0"/>
                        <a:ea typeface="+mn-ea"/>
                        <a:cs typeface="+mn-cs"/>
                      </a:rPr>
                      <m:t>School</m:t>
                    </m:r>
                    <m:r>
                      <m:rPr>
                        <m:nor/>
                      </m:rPr>
                      <a:rPr lang="es-MX" sz="1100" b="0" i="1">
                        <a:solidFill>
                          <a:schemeClr val="tx1"/>
                        </a:solidFill>
                        <a:latin typeface="Cambria Math" panose="02040503050406030204" pitchFamily="18" charset="0"/>
                        <a:ea typeface="+mn-ea"/>
                        <a:cs typeface="+mn-cs"/>
                      </a:rPr>
                      <m:t> </m:t>
                    </m:r>
                    <m:r>
                      <m:rPr>
                        <m:nor/>
                      </m:rPr>
                      <a:rPr lang="es-MX" sz="1100" b="0" i="1">
                        <a:solidFill>
                          <a:schemeClr val="tx1"/>
                        </a:solidFill>
                        <a:latin typeface="Cambria Math" panose="02040503050406030204" pitchFamily="18" charset="0"/>
                        <a:ea typeface="+mn-ea"/>
                        <a:cs typeface="+mn-cs"/>
                      </a:rPr>
                      <m:t>of</m:t>
                    </m:r>
                    <m:r>
                      <m:rPr>
                        <m:nor/>
                      </m:rPr>
                      <a:rPr lang="es-MX" sz="1100" b="0" i="1">
                        <a:solidFill>
                          <a:schemeClr val="tx1"/>
                        </a:solidFill>
                        <a:latin typeface="Cambria Math" panose="02040503050406030204" pitchFamily="18" charset="0"/>
                        <a:ea typeface="+mn-ea"/>
                        <a:cs typeface="+mn-cs"/>
                      </a:rPr>
                      <m:t> </m:t>
                    </m:r>
                    <m:r>
                      <m:rPr>
                        <m:nor/>
                      </m:rPr>
                      <a:rPr lang="es-MX" sz="1100" b="0" i="1">
                        <a:solidFill>
                          <a:schemeClr val="tx1"/>
                        </a:solidFill>
                        <a:latin typeface="Cambria Math" panose="02040503050406030204" pitchFamily="18" charset="0"/>
                        <a:ea typeface="+mn-ea"/>
                        <a:cs typeface="+mn-cs"/>
                      </a:rPr>
                      <m:t>Business</m:t>
                    </m:r>
                    <m:r>
                      <m:rPr>
                        <m:nor/>
                      </m:rPr>
                      <a:rPr lang="es-MX" sz="1100" b="0" i="1">
                        <a:solidFill>
                          <a:schemeClr val="tx1"/>
                        </a:solidFill>
                        <a:latin typeface="Cambria Math" panose="02040503050406030204" pitchFamily="18" charset="0"/>
                        <a:ea typeface="+mn-ea"/>
                        <a:cs typeface="+mn-cs"/>
                      </a:rPr>
                      <m:t>, </m:t>
                    </m:r>
                    <m:r>
                      <m:rPr>
                        <m:nor/>
                      </m:rPr>
                      <a:rPr lang="es-MX" sz="1100" b="0" i="1">
                        <a:solidFill>
                          <a:schemeClr val="tx1"/>
                        </a:solidFill>
                        <a:latin typeface="Cambria Math" panose="02040503050406030204" pitchFamily="18" charset="0"/>
                        <a:ea typeface="+mn-ea"/>
                        <a:cs typeface="+mn-cs"/>
                      </a:rPr>
                      <m:t>del</m:t>
                    </m:r>
                    <m:r>
                      <m:rPr>
                        <m:nor/>
                      </m:rPr>
                      <a:rPr lang="es-MX" sz="1100" b="0" i="1">
                        <a:solidFill>
                          <a:schemeClr val="tx1"/>
                        </a:solidFill>
                        <a:latin typeface="Cambria Math" panose="02040503050406030204" pitchFamily="18" charset="0"/>
                        <a:ea typeface="+mn-ea"/>
                        <a:cs typeface="+mn-cs"/>
                      </a:rPr>
                      <m:t> </m:t>
                    </m:r>
                    <m:r>
                      <m:rPr>
                        <m:nor/>
                      </m:rPr>
                      <a:rPr lang="es-MX" sz="1100" b="0" i="1">
                        <a:solidFill>
                          <a:schemeClr val="tx1"/>
                        </a:solidFill>
                        <a:latin typeface="Cambria Math" panose="02040503050406030204" pitchFamily="18" charset="0"/>
                        <a:ea typeface="+mn-ea"/>
                        <a:cs typeface="+mn-cs"/>
                      </a:rPr>
                      <m:t>Mount</m:t>
                    </m:r>
                    <m:r>
                      <m:rPr>
                        <m:nor/>
                      </m:rPr>
                      <a:rPr lang="es-MX" sz="1100" b="0" i="1">
                        <a:solidFill>
                          <a:schemeClr val="tx1"/>
                        </a:solidFill>
                        <a:latin typeface="Cambria Math" panose="02040503050406030204" pitchFamily="18" charset="0"/>
                        <a:ea typeface="+mn-ea"/>
                        <a:cs typeface="+mn-cs"/>
                      </a:rPr>
                      <m:t> </m:t>
                    </m:r>
                    <m:r>
                      <m:rPr>
                        <m:nor/>
                      </m:rPr>
                      <a:rPr lang="es-MX" sz="1100" b="0" i="1">
                        <a:solidFill>
                          <a:schemeClr val="tx1"/>
                        </a:solidFill>
                        <a:latin typeface="Cambria Math" panose="02040503050406030204" pitchFamily="18" charset="0"/>
                        <a:ea typeface="+mn-ea"/>
                        <a:cs typeface="+mn-cs"/>
                      </a:rPr>
                      <m:t>Perry</m:t>
                    </m:r>
                    <m:r>
                      <m:rPr>
                        <m:nor/>
                      </m:rPr>
                      <a:rPr lang="es-MX" sz="1100" b="0" i="1">
                        <a:solidFill>
                          <a:schemeClr val="tx1"/>
                        </a:solidFill>
                        <a:latin typeface="Cambria Math" panose="02040503050406030204" pitchFamily="18" charset="0"/>
                        <a:ea typeface="+mn-ea"/>
                        <a:cs typeface="+mn-cs"/>
                      </a:rPr>
                      <m:t> </m:t>
                    </m:r>
                    <m:r>
                      <m:rPr>
                        <m:nor/>
                      </m:rPr>
                      <a:rPr lang="es-MX" sz="1100" b="0" i="1">
                        <a:solidFill>
                          <a:schemeClr val="tx1"/>
                        </a:solidFill>
                        <a:latin typeface="Cambria Math" panose="02040503050406030204" pitchFamily="18" charset="0"/>
                        <a:ea typeface="+mn-ea"/>
                        <a:cs typeface="+mn-cs"/>
                      </a:rPr>
                      <m:t>College</m:t>
                    </m:r>
                    <m:r>
                      <a:rPr lang="es-MX" sz="1100" b="0" i="1">
                        <a:solidFill>
                          <a:schemeClr val="tx1"/>
                        </a:solidFill>
                        <a:latin typeface="Cambria Math" panose="02040503050406030204" pitchFamily="18" charset="0"/>
                        <a:ea typeface="+mn-ea"/>
                        <a:cs typeface="+mn-cs"/>
                      </a:rPr>
                      <m:t> </m:t>
                    </m:r>
                  </m:oMath>
                </m:oMathPara>
              </a14:m>
              <a:endParaRPr lang="es-MX" sz="1100" b="0" i="1">
                <a:solidFill>
                  <a:schemeClr val="tx1"/>
                </a:solidFill>
                <a:latin typeface="Cambria Math" panose="02040503050406030204" pitchFamily="18" charset="0"/>
                <a:ea typeface="+mn-ea"/>
                <a:cs typeface="+mn-cs"/>
              </a:endParaRPr>
            </a:p>
          </xdr:txBody>
        </xdr:sp>
      </mc:Choice>
      <mc:Fallback xmlns="">
        <xdr:sp macro="" textlink="">
          <xdr:nvSpPr>
            <xdr:cNvPr id="18" name="CuadroTexto 17">
              <a:extLst>
                <a:ext uri="{FF2B5EF4-FFF2-40B4-BE49-F238E27FC236}">
                  <a16:creationId xmlns:a16="http://schemas.microsoft.com/office/drawing/2014/main" id="{37E17FA0-D5AC-426E-8237-247DB702A833}"/>
                </a:ext>
              </a:extLst>
            </xdr:cNvPr>
            <xdr:cNvSpPr txBox="1"/>
          </xdr:nvSpPr>
          <xdr:spPr>
            <a:xfrm>
              <a:off x="12182475" y="22693312"/>
              <a:ext cx="3648563" cy="16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solidFill>
                    <a:srgbClr val="002060"/>
                  </a:solidFill>
                  <a:latin typeface="Cambria Math" panose="02040503050406030204" pitchFamily="18" charset="0"/>
                  <a:ea typeface="+mn-ea"/>
                  <a:cs typeface="+mn-cs"/>
                </a:rPr>
                <a:t>𝑪𝒂𝒔𝒐 𝟑.</a:t>
              </a:r>
              <a:r>
                <a:rPr lang="es-MX" sz="1100" b="0" i="0">
                  <a:solidFill>
                    <a:schemeClr val="tx1"/>
                  </a:solidFill>
                  <a:latin typeface="Cambria Math" panose="02040503050406030204" pitchFamily="18" charset="0"/>
                  <a:ea typeface="+mn-ea"/>
                  <a:cs typeface="+mn-cs"/>
                </a:rPr>
                <a:t>"Bradley School of Business, del Mount Perry College" </a:t>
              </a:r>
              <a:endParaRPr lang="es-MX" sz="1100" b="0" i="1">
                <a:solidFill>
                  <a:schemeClr val="tx1"/>
                </a:solidFill>
                <a:latin typeface="Cambria Math" panose="02040503050406030204" pitchFamily="18" charset="0"/>
                <a:ea typeface="+mn-ea"/>
                <a:cs typeface="+mn-cs"/>
              </a:endParaRPr>
            </a:p>
          </xdr:txBody>
        </xdr:sp>
      </mc:Fallback>
    </mc:AlternateContent>
    <xdr:clientData/>
  </xdr:oneCellAnchor>
  <xdr:oneCellAnchor>
    <xdr:from>
      <xdr:col>16</xdr:col>
      <xdr:colOff>47625</xdr:colOff>
      <xdr:row>128</xdr:row>
      <xdr:rowOff>14287</xdr:rowOff>
    </xdr:from>
    <xdr:ext cx="2170979" cy="172227"/>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a:off x="12239625" y="24398287"/>
              <a:ext cx="21709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𝑽𝒂𝒍𝒐𝒓</m:t>
                    </m:r>
                    <m:r>
                      <a:rPr lang="es-MX" sz="1100" b="1" i="1">
                        <a:latin typeface="Cambria Math" panose="02040503050406030204" pitchFamily="18" charset="0"/>
                      </a:rPr>
                      <m:t> </m:t>
                    </m:r>
                    <m:r>
                      <a:rPr lang="es-MX" sz="1100" b="1" i="1">
                        <a:latin typeface="Cambria Math" panose="02040503050406030204" pitchFamily="18" charset="0"/>
                      </a:rPr>
                      <m:t>𝒑𝒓𝒆𝒔𝒆𝒏𝒕𝒆</m:t>
                    </m:r>
                    <m:r>
                      <a:rPr lang="es-MX" sz="1100" b="1" i="1">
                        <a:latin typeface="Cambria Math" panose="02040503050406030204" pitchFamily="18" charset="0"/>
                      </a:rPr>
                      <m:t> </m:t>
                    </m:r>
                    <m:r>
                      <a:rPr lang="es-MX" sz="1100" b="1" i="1">
                        <a:latin typeface="Cambria Math" panose="02040503050406030204" pitchFamily="18" charset="0"/>
                      </a:rPr>
                      <m:t>𝒅𝒆</m:t>
                    </m:r>
                    <m:r>
                      <a:rPr lang="es-MX" sz="1100" b="1" i="1">
                        <a:latin typeface="Cambria Math" panose="02040503050406030204" pitchFamily="18" charset="0"/>
                      </a:rPr>
                      <m:t> </m:t>
                    </m:r>
                    <m:r>
                      <a:rPr lang="es-MX" sz="1100" b="1" i="1">
                        <a:latin typeface="Cambria Math" panose="02040503050406030204" pitchFamily="18" charset="0"/>
                      </a:rPr>
                      <m:t>𝒍𝒂</m:t>
                    </m:r>
                    <m:r>
                      <a:rPr lang="es-MX" sz="1100" b="1" i="1">
                        <a:latin typeface="Cambria Math" panose="02040503050406030204" pitchFamily="18" charset="0"/>
                      </a:rPr>
                      <m:t> </m:t>
                    </m:r>
                    <m:r>
                      <a:rPr lang="es-MX" sz="1100" b="1" i="1">
                        <a:latin typeface="Cambria Math" panose="02040503050406030204" pitchFamily="18" charset="0"/>
                      </a:rPr>
                      <m:t>𝒊𝒏𝒗𝒆𝒓𝒔𝒊</m:t>
                    </m:r>
                    <m:r>
                      <a:rPr lang="es-MX" sz="1100" b="1" i="1">
                        <a:latin typeface="Cambria Math" panose="02040503050406030204" pitchFamily="18" charset="0"/>
                      </a:rPr>
                      <m:t>ó</m:t>
                    </m:r>
                    <m:r>
                      <a:rPr lang="es-MX" sz="1100" b="1" i="1">
                        <a:latin typeface="Cambria Math" panose="02040503050406030204" pitchFamily="18" charset="0"/>
                      </a:rPr>
                      <m:t>𝒏</m:t>
                    </m:r>
                    <m:r>
                      <a:rPr lang="es-MX" sz="1100" b="1" i="1">
                        <a:latin typeface="Cambria Math" panose="02040503050406030204" pitchFamily="18" charset="0"/>
                      </a:rPr>
                      <m:t> </m:t>
                    </m:r>
                  </m:oMath>
                </m:oMathPara>
              </a14:m>
              <a:endParaRPr lang="es-MX" sz="1100" b="1"/>
            </a:p>
          </xdr:txBody>
        </xdr:sp>
      </mc:Choice>
      <mc:Fallback xmlns="">
        <xdr:sp macro="" textlink="">
          <xdr:nvSpPr>
            <xdr:cNvPr id="19" name="CuadroTexto 18">
              <a:extLst>
                <a:ext uri="{FF2B5EF4-FFF2-40B4-BE49-F238E27FC236}">
                  <a16:creationId xmlns:a16="http://schemas.microsoft.com/office/drawing/2014/main" id="{FE4E7F3D-7338-44F2-9E24-C07AEE17A525}"/>
                </a:ext>
              </a:extLst>
            </xdr:cNvPr>
            <xdr:cNvSpPr txBox="1"/>
          </xdr:nvSpPr>
          <xdr:spPr>
            <a:xfrm>
              <a:off x="12239625" y="24398287"/>
              <a:ext cx="21709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𝑽𝒂𝒍𝒐𝒓 𝒑𝒓𝒆𝒔𝒆𝒏𝒕𝒆 𝒅𝒆 𝒍𝒂 𝒊𝒏𝒗𝒆𝒓𝒔𝒊ó𝒏 </a:t>
              </a:r>
              <a:endParaRPr lang="es-MX" sz="1100" b="1"/>
            </a:p>
          </xdr:txBody>
        </xdr:sp>
      </mc:Fallback>
    </mc:AlternateContent>
    <xdr:clientData/>
  </xdr:oneCellAnchor>
  <xdr:oneCellAnchor>
    <xdr:from>
      <xdr:col>16</xdr:col>
      <xdr:colOff>228600</xdr:colOff>
      <xdr:row>129</xdr:row>
      <xdr:rowOff>33337</xdr:rowOff>
    </xdr:from>
    <xdr:ext cx="711157" cy="320793"/>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00000000-0008-0000-0100-000014000000}"/>
                </a:ext>
              </a:extLst>
            </xdr:cNvPr>
            <xdr:cNvSpPr txBox="1"/>
          </xdr:nvSpPr>
          <xdr:spPr>
            <a:xfrm>
              <a:off x="12420600" y="24607837"/>
              <a:ext cx="711157" cy="320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num>
                      <m:den>
                        <m:r>
                          <a:rPr lang="es-MX" sz="1100" b="0" i="1">
                            <a:latin typeface="Cambria Math" panose="02040503050406030204" pitchFamily="18" charset="0"/>
                          </a:rPr>
                          <m:t>1+</m:t>
                        </m:r>
                        <m:r>
                          <a:rPr lang="es-MX" sz="1100" b="0" i="1">
                            <a:latin typeface="Cambria Math" panose="02040503050406030204" pitchFamily="18" charset="0"/>
                          </a:rPr>
                          <m:t>𝑟</m:t>
                        </m:r>
                      </m:den>
                    </m:f>
                  </m:oMath>
                </m:oMathPara>
              </a14:m>
              <a:endParaRPr lang="es-MX" sz="1100"/>
            </a:p>
          </xdr:txBody>
        </xdr:sp>
      </mc:Choice>
      <mc:Fallback xmlns="">
        <xdr:sp macro="" textlink="">
          <xdr:nvSpPr>
            <xdr:cNvPr id="20" name="CuadroTexto 19">
              <a:extLst>
                <a:ext uri="{FF2B5EF4-FFF2-40B4-BE49-F238E27FC236}">
                  <a16:creationId xmlns:a16="http://schemas.microsoft.com/office/drawing/2014/main" id="{7C6CEBC8-E3DC-4761-BFAB-E1B8677E6C21}"/>
                </a:ext>
              </a:extLst>
            </xdr:cNvPr>
            <xdr:cNvSpPr txBox="1"/>
          </xdr:nvSpPr>
          <xdr:spPr>
            <a:xfrm>
              <a:off x="12420600" y="24607837"/>
              <a:ext cx="711157" cy="320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𝑉𝑃=𝐶/(1+𝑟)</a:t>
              </a:r>
              <a:endParaRPr lang="es-MX" sz="1100"/>
            </a:p>
          </xdr:txBody>
        </xdr:sp>
      </mc:Fallback>
    </mc:AlternateContent>
    <xdr:clientData/>
  </xdr:oneCellAnchor>
  <xdr:oneCellAnchor>
    <xdr:from>
      <xdr:col>16</xdr:col>
      <xdr:colOff>904875</xdr:colOff>
      <xdr:row>141</xdr:row>
      <xdr:rowOff>42862</xdr:rowOff>
    </xdr:from>
    <xdr:ext cx="828240" cy="348044"/>
    <mc:AlternateContent xmlns:mc="http://schemas.openxmlformats.org/markup-compatibility/2006" xmlns:a14="http://schemas.microsoft.com/office/drawing/2010/main">
      <mc:Choice Requires="a14">
        <xdr:sp macro="" textlink="">
          <xdr:nvSpPr>
            <xdr:cNvPr id="21" name="CuadroTexto 20">
              <a:extLst>
                <a:ext uri="{FF2B5EF4-FFF2-40B4-BE49-F238E27FC236}">
                  <a16:creationId xmlns:a16="http://schemas.microsoft.com/office/drawing/2014/main" id="{00000000-0008-0000-0100-000015000000}"/>
                </a:ext>
              </a:extLst>
            </xdr:cNvPr>
            <xdr:cNvSpPr txBox="1"/>
          </xdr:nvSpPr>
          <xdr:spPr>
            <a:xfrm>
              <a:off x="12954000" y="26903362"/>
              <a:ext cx="828240" cy="348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r>
                          <a:rPr lang="es-MX" sz="1100" b="0" i="1">
                            <a:solidFill>
                              <a:schemeClr val="tx1"/>
                            </a:solidFill>
                            <a:effectLst/>
                            <a:latin typeface="Cambria Math" panose="02040503050406030204" pitchFamily="18" charset="0"/>
                            <a:ea typeface="+mn-ea"/>
                            <a:cs typeface="+mn-cs"/>
                          </a:rPr>
                          <m:t>)</m:t>
                        </m:r>
                      </m:den>
                    </m:f>
                  </m:oMath>
                </m:oMathPara>
              </a14:m>
              <a:endParaRPr lang="es-MX" sz="1100"/>
            </a:p>
          </xdr:txBody>
        </xdr:sp>
      </mc:Choice>
      <mc:Fallback xmlns="">
        <xdr:sp macro="" textlink="">
          <xdr:nvSpPr>
            <xdr:cNvPr id="21" name="CuadroTexto 20">
              <a:extLst>
                <a:ext uri="{FF2B5EF4-FFF2-40B4-BE49-F238E27FC236}">
                  <a16:creationId xmlns:a16="http://schemas.microsoft.com/office/drawing/2014/main" id="{56FEADFC-4A20-404D-B37A-1C2F4EB22E1E}"/>
                </a:ext>
              </a:extLst>
            </xdr:cNvPr>
            <xdr:cNvSpPr txBox="1"/>
          </xdr:nvSpPr>
          <xdr:spPr>
            <a:xfrm>
              <a:off x="12954000" y="26903362"/>
              <a:ext cx="828240" cy="348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𝑉𝑃=𝐶/(</a:t>
              </a:r>
              <a:r>
                <a:rPr lang="es-MX" sz="1100" b="0" i="0">
                  <a:solidFill>
                    <a:schemeClr val="tx1"/>
                  </a:solidFill>
                  <a:effectLst/>
                  <a:latin typeface="Cambria Math" panose="02040503050406030204" pitchFamily="18" charset="0"/>
                  <a:ea typeface="+mn-ea"/>
                  <a:cs typeface="+mn-cs"/>
                </a:rPr>
                <a:t>(1+𝑟))</a:t>
              </a:r>
              <a:endParaRPr lang="es-MX" sz="1100"/>
            </a:p>
          </xdr:txBody>
        </xdr:sp>
      </mc:Fallback>
    </mc:AlternateContent>
    <xdr:clientData/>
  </xdr:oneCellAnchor>
  <xdr:oneCellAnchor>
    <xdr:from>
      <xdr:col>16</xdr:col>
      <xdr:colOff>114300</xdr:colOff>
      <xdr:row>156</xdr:row>
      <xdr:rowOff>23812</xdr:rowOff>
    </xdr:from>
    <xdr:ext cx="1413849" cy="537968"/>
    <mc:AlternateContent xmlns:mc="http://schemas.openxmlformats.org/markup-compatibility/2006" xmlns:a14="http://schemas.microsoft.com/office/drawing/2010/main">
      <mc:Choice Requires="a14">
        <xdr:sp macro="" textlink="">
          <xdr:nvSpPr>
            <xdr:cNvPr id="22" name="CuadroTexto 21">
              <a:extLst>
                <a:ext uri="{FF2B5EF4-FFF2-40B4-BE49-F238E27FC236}">
                  <a16:creationId xmlns:a16="http://schemas.microsoft.com/office/drawing/2014/main" id="{00000000-0008-0000-0100-000016000000}"/>
                </a:ext>
              </a:extLst>
            </xdr:cNvPr>
            <xdr:cNvSpPr txBox="1"/>
          </xdr:nvSpPr>
          <xdr:spPr>
            <a:xfrm>
              <a:off x="12306300" y="29741812"/>
              <a:ext cx="1413849" cy="537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𝐶</m:t>
                    </m:r>
                    <m:d>
                      <m:dPr>
                        <m:begChr m:val="["/>
                        <m:endChr m:val="]"/>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sSup>
                              <m:sSupPr>
                                <m:ctrlPr>
                                  <a:rPr lang="es-MX" sz="1100" b="0" i="1">
                                    <a:solidFill>
                                      <a:schemeClr val="tx1"/>
                                    </a:solidFill>
                                    <a:effectLst/>
                                    <a:latin typeface="Cambria Math" panose="02040503050406030204" pitchFamily="18" charset="0"/>
                                    <a:ea typeface="+mn-ea"/>
                                    <a:cs typeface="+mn-cs"/>
                                  </a:rPr>
                                </m:ctrlPr>
                              </m:sSupPr>
                              <m:e>
                                <m:d>
                                  <m:dPr>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𝑔</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den>
                                    </m:f>
                                  </m:e>
                                </m:d>
                              </m:e>
                              <m:sup>
                                <m:r>
                                  <a:rPr lang="es-MX" sz="1100" b="0" i="1">
                                    <a:solidFill>
                                      <a:schemeClr val="tx1"/>
                                    </a:solidFill>
                                    <a:effectLst/>
                                    <a:latin typeface="Cambria Math" panose="02040503050406030204" pitchFamily="18" charset="0"/>
                                    <a:ea typeface="+mn-ea"/>
                                    <a:cs typeface="+mn-cs"/>
                                  </a:rPr>
                                  <m:t>𝑇</m:t>
                                </m:r>
                              </m:sup>
                            </m:sSup>
                          </m:num>
                          <m:den>
                            <m:r>
                              <a:rPr lang="es-MX" sz="1100" b="0" i="1">
                                <a:solidFill>
                                  <a:schemeClr val="tx1"/>
                                </a:solidFill>
                                <a:effectLst/>
                                <a:latin typeface="Cambria Math" panose="02040503050406030204" pitchFamily="18" charset="0"/>
                                <a:ea typeface="+mn-ea"/>
                                <a:cs typeface="+mn-cs"/>
                              </a:rPr>
                              <m:t>𝑟</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𝑔</m:t>
                            </m:r>
                          </m:den>
                        </m:f>
                      </m:e>
                    </m:d>
                  </m:oMath>
                </m:oMathPara>
              </a14:m>
              <a:endParaRPr lang="es-MX" sz="1100"/>
            </a:p>
          </xdr:txBody>
        </xdr:sp>
      </mc:Choice>
      <mc:Fallback xmlns="">
        <xdr:sp macro="" textlink="">
          <xdr:nvSpPr>
            <xdr:cNvPr id="22" name="CuadroTexto 21">
              <a:extLst>
                <a:ext uri="{FF2B5EF4-FFF2-40B4-BE49-F238E27FC236}">
                  <a16:creationId xmlns:a16="http://schemas.microsoft.com/office/drawing/2014/main" id="{468F6F20-F5E6-4649-A501-295697393531}"/>
                </a:ext>
              </a:extLst>
            </xdr:cNvPr>
            <xdr:cNvSpPr txBox="1"/>
          </xdr:nvSpPr>
          <xdr:spPr>
            <a:xfrm>
              <a:off x="12306300" y="29741812"/>
              <a:ext cx="1413849" cy="537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a:t>
              </a:r>
              <a:r>
                <a:rPr lang="es-MX" sz="1100" b="0" i="0">
                  <a:solidFill>
                    <a:schemeClr val="tx1"/>
                  </a:solidFill>
                  <a:effectLst/>
                  <a:latin typeface="Cambria Math" panose="02040503050406030204" pitchFamily="18" charset="0"/>
                  <a:ea typeface="+mn-ea"/>
                  <a:cs typeface="+mn-cs"/>
                </a:rPr>
                <a:t>=𝐶[(1−((1+𝑔)/(1+𝑟))^𝑇)/(𝑟−𝑔)]</a:t>
              </a:r>
              <a:endParaRPr lang="es-MX" sz="1100"/>
            </a:p>
          </xdr:txBody>
        </xdr:sp>
      </mc:Fallback>
    </mc:AlternateContent>
    <xdr:clientData/>
  </xdr:oneCellAnchor>
  <xdr:oneCellAnchor>
    <xdr:from>
      <xdr:col>16</xdr:col>
      <xdr:colOff>276225</xdr:colOff>
      <xdr:row>168</xdr:row>
      <xdr:rowOff>19050</xdr:rowOff>
    </xdr:from>
    <xdr:ext cx="828240" cy="348044"/>
    <mc:AlternateContent xmlns:mc="http://schemas.openxmlformats.org/markup-compatibility/2006" xmlns:a14="http://schemas.microsoft.com/office/drawing/2010/main">
      <mc:Choice Requires="a14">
        <xdr:sp macro="" textlink="">
          <xdr:nvSpPr>
            <xdr:cNvPr id="23" name="CuadroTexto 22">
              <a:extLst>
                <a:ext uri="{FF2B5EF4-FFF2-40B4-BE49-F238E27FC236}">
                  <a16:creationId xmlns:a16="http://schemas.microsoft.com/office/drawing/2014/main" id="{00000000-0008-0000-0100-000017000000}"/>
                </a:ext>
              </a:extLst>
            </xdr:cNvPr>
            <xdr:cNvSpPr txBox="1"/>
          </xdr:nvSpPr>
          <xdr:spPr>
            <a:xfrm>
              <a:off x="12468225" y="32023050"/>
              <a:ext cx="828240" cy="348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r>
                          <a:rPr lang="es-MX" sz="1100" b="0" i="1">
                            <a:solidFill>
                              <a:schemeClr val="tx1"/>
                            </a:solidFill>
                            <a:effectLst/>
                            <a:latin typeface="Cambria Math" panose="02040503050406030204" pitchFamily="18" charset="0"/>
                            <a:ea typeface="+mn-ea"/>
                            <a:cs typeface="+mn-cs"/>
                          </a:rPr>
                          <m:t>)</m:t>
                        </m:r>
                      </m:den>
                    </m:f>
                  </m:oMath>
                </m:oMathPara>
              </a14:m>
              <a:endParaRPr lang="es-MX" sz="1100"/>
            </a:p>
          </xdr:txBody>
        </xdr:sp>
      </mc:Choice>
      <mc:Fallback xmlns="">
        <xdr:sp macro="" textlink="">
          <xdr:nvSpPr>
            <xdr:cNvPr id="23" name="CuadroTexto 22">
              <a:extLst>
                <a:ext uri="{FF2B5EF4-FFF2-40B4-BE49-F238E27FC236}">
                  <a16:creationId xmlns:a16="http://schemas.microsoft.com/office/drawing/2014/main" id="{AFFD9050-EDD3-4E9B-8021-495134A8CFAE}"/>
                </a:ext>
              </a:extLst>
            </xdr:cNvPr>
            <xdr:cNvSpPr txBox="1"/>
          </xdr:nvSpPr>
          <xdr:spPr>
            <a:xfrm>
              <a:off x="12468225" y="32023050"/>
              <a:ext cx="828240" cy="348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𝑉𝑃=𝐶/(</a:t>
              </a:r>
              <a:r>
                <a:rPr lang="es-MX" sz="1100" b="0" i="0">
                  <a:solidFill>
                    <a:schemeClr val="tx1"/>
                  </a:solidFill>
                  <a:effectLst/>
                  <a:latin typeface="Cambria Math" panose="02040503050406030204" pitchFamily="18" charset="0"/>
                  <a:ea typeface="+mn-ea"/>
                  <a:cs typeface="+mn-cs"/>
                </a:rPr>
                <a:t>(1+𝑟))</a:t>
              </a:r>
              <a:endParaRPr lang="es-MX" sz="1100"/>
            </a:p>
          </xdr:txBody>
        </xdr:sp>
      </mc:Fallback>
    </mc:AlternateContent>
    <xdr:clientData/>
  </xdr:oneCellAnchor>
  <xdr:oneCellAnchor>
    <xdr:from>
      <xdr:col>22</xdr:col>
      <xdr:colOff>752475</xdr:colOff>
      <xdr:row>3</xdr:row>
      <xdr:rowOff>14287</xdr:rowOff>
    </xdr:from>
    <xdr:ext cx="4007315" cy="172227"/>
    <mc:AlternateContent xmlns:mc="http://schemas.openxmlformats.org/markup-compatibility/2006" xmlns:a14="http://schemas.microsoft.com/office/drawing/2010/main">
      <mc:Choice Requires="a14">
        <xdr:sp macro="" textlink="">
          <xdr:nvSpPr>
            <xdr:cNvPr id="24" name="CuadroTexto 23">
              <a:extLst>
                <a:ext uri="{FF2B5EF4-FFF2-40B4-BE49-F238E27FC236}">
                  <a16:creationId xmlns:a16="http://schemas.microsoft.com/office/drawing/2014/main" id="{00000000-0008-0000-0100-000018000000}"/>
                </a:ext>
              </a:extLst>
            </xdr:cNvPr>
            <xdr:cNvSpPr txBox="1"/>
          </xdr:nvSpPr>
          <xdr:spPr>
            <a:xfrm>
              <a:off x="17516475" y="585787"/>
              <a:ext cx="400731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𝑪𝒂𝒔𝒐</m:t>
                    </m:r>
                    <m:r>
                      <a:rPr lang="es-MX" sz="1100" b="1" i="1">
                        <a:latin typeface="Cambria Math" panose="02040503050406030204" pitchFamily="18" charset="0"/>
                      </a:rPr>
                      <m:t> </m:t>
                    </m:r>
                    <m:r>
                      <a:rPr lang="es-MX" sz="1100" b="1" i="1">
                        <a:latin typeface="Cambria Math" panose="02040503050406030204" pitchFamily="18" charset="0"/>
                      </a:rPr>
                      <m:t>𝟏</m:t>
                    </m:r>
                    <m:r>
                      <a:rPr lang="es-MX" sz="1100" b="1" i="1">
                        <a:latin typeface="Cambria Math" panose="02040503050406030204" pitchFamily="18" charset="0"/>
                      </a:rPr>
                      <m:t>. </m:t>
                    </m:r>
                    <m:r>
                      <a:rPr lang="es-MX" sz="1100" b="1" i="1">
                        <a:latin typeface="Cambria Math" panose="02040503050406030204" pitchFamily="18" charset="0"/>
                      </a:rPr>
                      <m:t>𝑷𝒆𝒓𝒎𝒂𝒏𝒆𝒄𝒆𝒓</m:t>
                    </m:r>
                    <m:r>
                      <a:rPr lang="es-MX" sz="1100" b="1" i="1">
                        <a:latin typeface="Cambria Math" panose="02040503050406030204" pitchFamily="18" charset="0"/>
                      </a:rPr>
                      <m:t> </m:t>
                    </m:r>
                    <m:r>
                      <a:rPr lang="es-MX" sz="1100" b="1" i="1">
                        <a:latin typeface="Cambria Math" panose="02040503050406030204" pitchFamily="18" charset="0"/>
                      </a:rPr>
                      <m:t>𝒆𝒏</m:t>
                    </m:r>
                    <m:r>
                      <a:rPr lang="es-MX" sz="1100" b="1" i="1">
                        <a:latin typeface="Cambria Math" panose="02040503050406030204" pitchFamily="18" charset="0"/>
                      </a:rPr>
                      <m:t> </m:t>
                    </m:r>
                    <m:r>
                      <a:rPr lang="es-MX" sz="1100" b="1" i="1">
                        <a:latin typeface="Cambria Math" panose="02040503050406030204" pitchFamily="18" charset="0"/>
                      </a:rPr>
                      <m:t>𝒔𝒖</m:t>
                    </m:r>
                    <m:r>
                      <a:rPr lang="es-MX" sz="1100" b="1" i="1">
                        <a:latin typeface="Cambria Math" panose="02040503050406030204" pitchFamily="18" charset="0"/>
                      </a:rPr>
                      <m:t> </m:t>
                    </m:r>
                    <m:r>
                      <a:rPr lang="es-MX" sz="1100" b="1" i="1">
                        <a:latin typeface="Cambria Math" panose="02040503050406030204" pitchFamily="18" charset="0"/>
                      </a:rPr>
                      <m:t>𝒕𝒓𝒂𝒃𝒂𝒋𝒐</m:t>
                    </m:r>
                    <m:r>
                      <a:rPr lang="es-MX" sz="1100" b="1" i="1">
                        <a:latin typeface="Cambria Math" panose="02040503050406030204" pitchFamily="18" charset="0"/>
                      </a:rPr>
                      <m:t> </m:t>
                    </m:r>
                    <m:r>
                      <a:rPr lang="es-MX" sz="1100" b="1" i="1">
                        <a:latin typeface="Cambria Math" panose="02040503050406030204" pitchFamily="18" charset="0"/>
                      </a:rPr>
                      <m:t>𝒂𝒄𝒕𝒖𝒂𝒍</m:t>
                    </m:r>
                    <m:r>
                      <a:rPr lang="es-MX" sz="1100" b="1" i="1">
                        <a:latin typeface="Cambria Math" panose="02040503050406030204" pitchFamily="18" charset="0"/>
                      </a:rPr>
                      <m:t> </m:t>
                    </m:r>
                    <m:r>
                      <a:rPr lang="es-MX" sz="1100" b="1" i="1">
                        <a:latin typeface="Cambria Math" panose="02040503050406030204" pitchFamily="18" charset="0"/>
                      </a:rPr>
                      <m:t>𝒅𝒖𝒓𝒂𝒏𝒕𝒆</m:t>
                    </m:r>
                    <m:r>
                      <a:rPr lang="es-MX" sz="1100" b="1" i="1">
                        <a:latin typeface="Cambria Math" panose="02040503050406030204" pitchFamily="18" charset="0"/>
                      </a:rPr>
                      <m:t> </m:t>
                    </m:r>
                    <m:r>
                      <a:rPr lang="es-MX" sz="1100" b="1" i="1">
                        <a:latin typeface="Cambria Math" panose="02040503050406030204" pitchFamily="18" charset="0"/>
                      </a:rPr>
                      <m:t>𝟒𝟎</m:t>
                    </m:r>
                    <m:r>
                      <a:rPr lang="es-MX" sz="1100" b="1" i="1">
                        <a:latin typeface="Cambria Math" panose="02040503050406030204" pitchFamily="18" charset="0"/>
                      </a:rPr>
                      <m:t> </m:t>
                    </m:r>
                    <m:r>
                      <a:rPr lang="es-MX" sz="1100" b="1" i="1">
                        <a:latin typeface="Cambria Math" panose="02040503050406030204" pitchFamily="18" charset="0"/>
                      </a:rPr>
                      <m:t>𝒂</m:t>
                    </m:r>
                    <m:r>
                      <a:rPr lang="es-MX" sz="1100" b="1" i="1">
                        <a:latin typeface="Cambria Math" panose="02040503050406030204" pitchFamily="18" charset="0"/>
                      </a:rPr>
                      <m:t>ñ</m:t>
                    </m:r>
                    <m:r>
                      <a:rPr lang="es-MX" sz="1100" b="1" i="1">
                        <a:latin typeface="Cambria Math" panose="02040503050406030204" pitchFamily="18" charset="0"/>
                      </a:rPr>
                      <m:t>𝒐𝒔</m:t>
                    </m:r>
                    <m:r>
                      <a:rPr lang="es-MX" sz="1100" b="1" i="1">
                        <a:latin typeface="Cambria Math" panose="02040503050406030204" pitchFamily="18" charset="0"/>
                      </a:rPr>
                      <m:t>.</m:t>
                    </m:r>
                  </m:oMath>
                </m:oMathPara>
              </a14:m>
              <a:endParaRPr lang="es-MX" sz="1100" b="1"/>
            </a:p>
          </xdr:txBody>
        </xdr:sp>
      </mc:Choice>
      <mc:Fallback xmlns="">
        <xdr:sp macro="" textlink="">
          <xdr:nvSpPr>
            <xdr:cNvPr id="24" name="CuadroTexto 23">
              <a:extLst>
                <a:ext uri="{FF2B5EF4-FFF2-40B4-BE49-F238E27FC236}">
                  <a16:creationId xmlns:a16="http://schemas.microsoft.com/office/drawing/2014/main" id="{D59BE10B-17DF-4607-AFCF-333891B6E6F2}"/>
                </a:ext>
              </a:extLst>
            </xdr:cNvPr>
            <xdr:cNvSpPr txBox="1"/>
          </xdr:nvSpPr>
          <xdr:spPr>
            <a:xfrm>
              <a:off x="17516475" y="585787"/>
              <a:ext cx="400731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𝑪𝒂𝒔𝒐 𝟏. 𝑷𝒆𝒓𝒎𝒂𝒏𝒆𝒄𝒆𝒓 𝒆𝒏 𝒔𝒖 𝒕𝒓𝒂𝒃𝒂𝒋𝒐 𝒂𝒄𝒕𝒖𝒂𝒍 𝒅𝒖𝒓𝒂𝒏𝒕𝒆 𝟒𝟎 𝒂ñ𝒐𝒔.</a:t>
              </a:r>
              <a:endParaRPr lang="es-MX" sz="1100" b="1"/>
            </a:p>
          </xdr:txBody>
        </xdr:sp>
      </mc:Fallback>
    </mc:AlternateContent>
    <xdr:clientData/>
  </xdr:oneCellAnchor>
  <xdr:oneCellAnchor>
    <xdr:from>
      <xdr:col>22</xdr:col>
      <xdr:colOff>742950</xdr:colOff>
      <xdr:row>4</xdr:row>
      <xdr:rowOff>23812</xdr:rowOff>
    </xdr:from>
    <xdr:ext cx="1990288" cy="172227"/>
    <mc:AlternateContent xmlns:mc="http://schemas.openxmlformats.org/markup-compatibility/2006" xmlns:a14="http://schemas.microsoft.com/office/drawing/2010/main">
      <mc:Choice Requires="a14">
        <xdr:sp macro="" textlink="">
          <xdr:nvSpPr>
            <xdr:cNvPr id="25" name="CuadroTexto 24">
              <a:extLst>
                <a:ext uri="{FF2B5EF4-FFF2-40B4-BE49-F238E27FC236}">
                  <a16:creationId xmlns:a16="http://schemas.microsoft.com/office/drawing/2014/main" id="{00000000-0008-0000-0100-000019000000}"/>
                </a:ext>
              </a:extLst>
            </xdr:cNvPr>
            <xdr:cNvSpPr txBox="1"/>
          </xdr:nvSpPr>
          <xdr:spPr>
            <a:xfrm>
              <a:off x="17506950" y="785812"/>
              <a:ext cx="199028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𝑉𝑎𝑙𝑜𝑟</m:t>
                    </m:r>
                    <m:r>
                      <a:rPr lang="es-MX" sz="1100" b="0" i="1">
                        <a:latin typeface="Cambria Math" panose="02040503050406030204" pitchFamily="18" charset="0"/>
                      </a:rPr>
                      <m:t> </m:t>
                    </m:r>
                    <m:r>
                      <a:rPr lang="es-MX" sz="1100" b="0" i="1">
                        <a:latin typeface="Cambria Math" panose="02040503050406030204" pitchFamily="18" charset="0"/>
                      </a:rPr>
                      <m:t>𝑓𝑢𝑡𝑢𝑟𝑜</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𝑢𝑛𝑎</m:t>
                    </m:r>
                    <m:r>
                      <a:rPr lang="es-MX" sz="1100" b="0" i="1">
                        <a:latin typeface="Cambria Math" panose="02040503050406030204" pitchFamily="18" charset="0"/>
                      </a:rPr>
                      <m:t> </m:t>
                    </m:r>
                    <m:r>
                      <a:rPr lang="es-MX" sz="1100" b="0" i="1">
                        <a:latin typeface="Cambria Math" panose="02040503050406030204" pitchFamily="18" charset="0"/>
                      </a:rPr>
                      <m:t>𝑖𝑛𝑣𝑒𝑟𝑠𝑖</m:t>
                    </m:r>
                    <m:r>
                      <a:rPr lang="es-MX" sz="1100" b="0" i="1">
                        <a:latin typeface="Cambria Math" panose="02040503050406030204" pitchFamily="18" charset="0"/>
                      </a:rPr>
                      <m:t>ó</m:t>
                    </m:r>
                    <m:r>
                      <a:rPr lang="es-MX" sz="1100" b="0" i="1">
                        <a:latin typeface="Cambria Math" panose="02040503050406030204" pitchFamily="18" charset="0"/>
                      </a:rPr>
                      <m:t>𝑛</m:t>
                    </m:r>
                  </m:oMath>
                </m:oMathPara>
              </a14:m>
              <a:endParaRPr lang="es-MX" sz="1100"/>
            </a:p>
          </xdr:txBody>
        </xdr:sp>
      </mc:Choice>
      <mc:Fallback xmlns="">
        <xdr:sp macro="" textlink="">
          <xdr:nvSpPr>
            <xdr:cNvPr id="25" name="CuadroTexto 24">
              <a:extLst>
                <a:ext uri="{FF2B5EF4-FFF2-40B4-BE49-F238E27FC236}">
                  <a16:creationId xmlns:a16="http://schemas.microsoft.com/office/drawing/2014/main" id="{77FDDEA3-8202-48D6-9250-185087D48A31}"/>
                </a:ext>
              </a:extLst>
            </xdr:cNvPr>
            <xdr:cNvSpPr txBox="1"/>
          </xdr:nvSpPr>
          <xdr:spPr>
            <a:xfrm>
              <a:off x="17506950" y="785812"/>
              <a:ext cx="199028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𝑉𝑎𝑙𝑜𝑟 𝑓𝑢𝑡𝑢𝑟𝑜 𝑑𝑒 𝑢𝑛𝑎 𝑖𝑛𝑣𝑒𝑟𝑠𝑖ó𝑛</a:t>
              </a:r>
              <a:endParaRPr lang="es-MX" sz="1100"/>
            </a:p>
          </xdr:txBody>
        </xdr:sp>
      </mc:Fallback>
    </mc:AlternateContent>
    <xdr:clientData/>
  </xdr:oneCellAnchor>
  <xdr:oneCellAnchor>
    <xdr:from>
      <xdr:col>24</xdr:col>
      <xdr:colOff>876300</xdr:colOff>
      <xdr:row>5</xdr:row>
      <xdr:rowOff>61912</xdr:rowOff>
    </xdr:from>
    <xdr:ext cx="1182823" cy="175433"/>
    <mc:AlternateContent xmlns:mc="http://schemas.openxmlformats.org/markup-compatibility/2006" xmlns:a14="http://schemas.microsoft.com/office/drawing/2010/main">
      <mc:Choice Requires="a14">
        <xdr:sp macro="" textlink="">
          <xdr:nvSpPr>
            <xdr:cNvPr id="26" name="CuadroTexto 25">
              <a:extLst>
                <a:ext uri="{FF2B5EF4-FFF2-40B4-BE49-F238E27FC236}">
                  <a16:creationId xmlns:a16="http://schemas.microsoft.com/office/drawing/2014/main" id="{00000000-0008-0000-0100-00001A000000}"/>
                </a:ext>
              </a:extLst>
            </xdr:cNvPr>
            <xdr:cNvSpPr txBox="1"/>
          </xdr:nvSpPr>
          <xdr:spPr>
            <a:xfrm>
              <a:off x="19050000" y="1014412"/>
              <a:ext cx="1182823" cy="175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𝑉𝐹</m:t>
                    </m:r>
                    <m:r>
                      <a:rPr lang="es-MX" sz="1100" b="0" i="1">
                        <a:latin typeface="Cambria Math" panose="02040503050406030204" pitchFamily="18" charset="0"/>
                      </a:rPr>
                      <m:t>=</m:t>
                    </m:r>
                    <m:r>
                      <a:rPr lang="es-MX" sz="1100" b="0" i="1">
                        <a:latin typeface="Cambria Math" panose="02040503050406030204" pitchFamily="18" charset="0"/>
                      </a:rPr>
                      <m:t>𝑉𝑃</m:t>
                    </m:r>
                    <m:r>
                      <a:rPr lang="es-MX" sz="1100" b="0" i="1">
                        <a:latin typeface="Cambria Math" panose="02040503050406030204" pitchFamily="18" charset="0"/>
                        <a:ea typeface="Cambria Math" panose="02040503050406030204" pitchFamily="18" charset="0"/>
                      </a:rPr>
                      <m:t>∙</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𝑟</m:t>
                        </m:r>
                        <m:r>
                          <a:rPr lang="es-MX" sz="1100" b="0" i="1">
                            <a:latin typeface="Cambria Math" panose="02040503050406030204" pitchFamily="18" charset="0"/>
                            <a:ea typeface="Cambria Math" panose="02040503050406030204" pitchFamily="18" charset="0"/>
                          </a:rPr>
                          <m:t>)</m:t>
                        </m:r>
                      </m:e>
                      <m:sup>
                        <m:r>
                          <a:rPr lang="es-MX" sz="1100" b="0" i="1">
                            <a:latin typeface="Cambria Math" panose="02040503050406030204" pitchFamily="18" charset="0"/>
                            <a:ea typeface="Cambria Math" panose="02040503050406030204" pitchFamily="18" charset="0"/>
                          </a:rPr>
                          <m:t>𝑇</m:t>
                        </m:r>
                      </m:sup>
                    </m:sSup>
                  </m:oMath>
                </m:oMathPara>
              </a14:m>
              <a:endParaRPr lang="es-MX" sz="1100"/>
            </a:p>
          </xdr:txBody>
        </xdr:sp>
      </mc:Choice>
      <mc:Fallback xmlns="">
        <xdr:sp macro="" textlink="">
          <xdr:nvSpPr>
            <xdr:cNvPr id="26" name="CuadroTexto 25">
              <a:extLst>
                <a:ext uri="{FF2B5EF4-FFF2-40B4-BE49-F238E27FC236}">
                  <a16:creationId xmlns:a16="http://schemas.microsoft.com/office/drawing/2014/main" id="{71C85C10-BC7E-4035-9F86-2A8D51161167}"/>
                </a:ext>
              </a:extLst>
            </xdr:cNvPr>
            <xdr:cNvSpPr txBox="1"/>
          </xdr:nvSpPr>
          <xdr:spPr>
            <a:xfrm>
              <a:off x="19050000" y="1014412"/>
              <a:ext cx="1182823" cy="175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𝑉𝐹=𝑉𝑃</a:t>
              </a:r>
              <a:r>
                <a:rPr lang="es-MX" sz="1100" b="0" i="0">
                  <a:latin typeface="Cambria Math" panose="02040503050406030204" pitchFamily="18" charset="0"/>
                  <a:ea typeface="Cambria Math" panose="02040503050406030204" pitchFamily="18" charset="0"/>
                </a:rPr>
                <a:t>∙〖(1+𝑟)〗^𝑇</a:t>
              </a:r>
              <a:endParaRPr lang="es-MX" sz="1100"/>
            </a:p>
          </xdr:txBody>
        </xdr:sp>
      </mc:Fallback>
    </mc:AlternateContent>
    <xdr:clientData/>
  </xdr:oneCellAnchor>
  <xdr:oneCellAnchor>
    <xdr:from>
      <xdr:col>23</xdr:col>
      <xdr:colOff>0</xdr:colOff>
      <xdr:row>18</xdr:row>
      <xdr:rowOff>0</xdr:rowOff>
    </xdr:from>
    <xdr:ext cx="3790333" cy="180434"/>
    <mc:AlternateContent xmlns:mc="http://schemas.openxmlformats.org/markup-compatibility/2006" xmlns:a14="http://schemas.microsoft.com/office/drawing/2010/main">
      <mc:Choice Requires="a14">
        <xdr:sp macro="" textlink="">
          <xdr:nvSpPr>
            <xdr:cNvPr id="27" name="CuadroTexto 26">
              <a:extLst>
                <a:ext uri="{FF2B5EF4-FFF2-40B4-BE49-F238E27FC236}">
                  <a16:creationId xmlns:a16="http://schemas.microsoft.com/office/drawing/2014/main" id="{00000000-0008-0000-0100-00001B000000}"/>
                </a:ext>
              </a:extLst>
            </xdr:cNvPr>
            <xdr:cNvSpPr txBox="1"/>
          </xdr:nvSpPr>
          <xdr:spPr>
            <a:xfrm>
              <a:off x="17526000" y="3429000"/>
              <a:ext cx="3790333" cy="180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chemeClr val="tx1"/>
                        </a:solidFill>
                        <a:latin typeface="Cambria Math" panose="02040503050406030204" pitchFamily="18" charset="0"/>
                        <a:ea typeface="+mn-ea"/>
                        <a:cs typeface="+mn-cs"/>
                      </a:rPr>
                      <m:t>𝑪𝒂𝒔𝒐</m:t>
                    </m:r>
                    <m:r>
                      <a:rPr lang="es-MX" sz="1200" b="1" i="1">
                        <a:solidFill>
                          <a:schemeClr val="tx1"/>
                        </a:solidFill>
                        <a:latin typeface="Cambria Math" panose="02040503050406030204" pitchFamily="18" charset="0"/>
                        <a:ea typeface="+mn-ea"/>
                        <a:cs typeface="+mn-cs"/>
                      </a:rPr>
                      <m:t> </m:t>
                    </m:r>
                    <m:r>
                      <a:rPr lang="es-MX" sz="1200" b="1" i="1">
                        <a:solidFill>
                          <a:schemeClr val="tx1"/>
                        </a:solidFill>
                        <a:latin typeface="Cambria Math" panose="02040503050406030204" pitchFamily="18" charset="0"/>
                        <a:ea typeface="+mn-ea"/>
                        <a:cs typeface="+mn-cs"/>
                      </a:rPr>
                      <m:t>𝟐</m:t>
                    </m:r>
                    <m: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Ritter</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College</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of</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Business</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de</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la</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Walton</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University</m:t>
                    </m:r>
                  </m:oMath>
                </m:oMathPara>
              </a14:m>
              <a:endParaRPr lang="es-MX" sz="1100" b="1" i="1">
                <a:solidFill>
                  <a:schemeClr val="tx1"/>
                </a:solidFill>
                <a:latin typeface="Cambria Math" panose="02040503050406030204" pitchFamily="18" charset="0"/>
                <a:ea typeface="+mn-ea"/>
                <a:cs typeface="+mn-cs"/>
              </a:endParaRPr>
            </a:p>
          </xdr:txBody>
        </xdr:sp>
      </mc:Choice>
      <mc:Fallback xmlns="">
        <xdr:sp macro="" textlink="">
          <xdr:nvSpPr>
            <xdr:cNvPr id="27" name="CuadroTexto 26">
              <a:extLst>
                <a:ext uri="{FF2B5EF4-FFF2-40B4-BE49-F238E27FC236}">
                  <a16:creationId xmlns:a16="http://schemas.microsoft.com/office/drawing/2014/main" id="{4ACB99E6-1C44-4201-A975-B59EB8067BD0}"/>
                </a:ext>
              </a:extLst>
            </xdr:cNvPr>
            <xdr:cNvSpPr txBox="1"/>
          </xdr:nvSpPr>
          <xdr:spPr>
            <a:xfrm>
              <a:off x="17526000" y="3429000"/>
              <a:ext cx="3790333" cy="180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chemeClr val="tx1"/>
                  </a:solidFill>
                  <a:latin typeface="Cambria Math" panose="02040503050406030204" pitchFamily="18" charset="0"/>
                  <a:ea typeface="+mn-ea"/>
                  <a:cs typeface="+mn-cs"/>
                </a:rPr>
                <a:t>𝑪𝒂𝒔𝒐 𝟐. "Ritter College of Business, de la Walton University"</a:t>
              </a:r>
              <a:endParaRPr lang="es-MX" sz="1100" b="1" i="1">
                <a:solidFill>
                  <a:schemeClr val="tx1"/>
                </a:solidFill>
                <a:latin typeface="Cambria Math" panose="02040503050406030204" pitchFamily="18" charset="0"/>
                <a:ea typeface="+mn-ea"/>
                <a:cs typeface="+mn-cs"/>
              </a:endParaRPr>
            </a:p>
          </xdr:txBody>
        </xdr:sp>
      </mc:Fallback>
    </mc:AlternateContent>
    <xdr:clientData/>
  </xdr:oneCellAnchor>
  <xdr:oneCellAnchor>
    <xdr:from>
      <xdr:col>22</xdr:col>
      <xdr:colOff>742950</xdr:colOff>
      <xdr:row>19</xdr:row>
      <xdr:rowOff>23812</xdr:rowOff>
    </xdr:from>
    <xdr:ext cx="1990288" cy="172227"/>
    <mc:AlternateContent xmlns:mc="http://schemas.openxmlformats.org/markup-compatibility/2006" xmlns:a14="http://schemas.microsoft.com/office/drawing/2010/main">
      <mc:Choice Requires="a14">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17506950" y="3643312"/>
              <a:ext cx="199028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𝑉𝑎𝑙𝑜𝑟</m:t>
                    </m:r>
                    <m:r>
                      <a:rPr lang="es-MX" sz="1100" b="0" i="1">
                        <a:latin typeface="Cambria Math" panose="02040503050406030204" pitchFamily="18" charset="0"/>
                      </a:rPr>
                      <m:t> </m:t>
                    </m:r>
                    <m:r>
                      <a:rPr lang="es-MX" sz="1100" b="0" i="1">
                        <a:latin typeface="Cambria Math" panose="02040503050406030204" pitchFamily="18" charset="0"/>
                      </a:rPr>
                      <m:t>𝑓𝑢𝑡𝑢𝑟𝑜</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𝑢𝑛𝑎</m:t>
                    </m:r>
                    <m:r>
                      <a:rPr lang="es-MX" sz="1100" b="0" i="1">
                        <a:latin typeface="Cambria Math" panose="02040503050406030204" pitchFamily="18" charset="0"/>
                      </a:rPr>
                      <m:t> </m:t>
                    </m:r>
                    <m:r>
                      <a:rPr lang="es-MX" sz="1100" b="0" i="1">
                        <a:latin typeface="Cambria Math" panose="02040503050406030204" pitchFamily="18" charset="0"/>
                      </a:rPr>
                      <m:t>𝑖𝑛𝑣𝑒𝑟𝑠𝑖</m:t>
                    </m:r>
                    <m:r>
                      <a:rPr lang="es-MX" sz="1100" b="0" i="1">
                        <a:latin typeface="Cambria Math" panose="02040503050406030204" pitchFamily="18" charset="0"/>
                      </a:rPr>
                      <m:t>ó</m:t>
                    </m:r>
                    <m:r>
                      <a:rPr lang="es-MX" sz="1100" b="0" i="1">
                        <a:latin typeface="Cambria Math" panose="02040503050406030204" pitchFamily="18" charset="0"/>
                      </a:rPr>
                      <m:t>𝑛</m:t>
                    </m:r>
                  </m:oMath>
                </m:oMathPara>
              </a14:m>
              <a:endParaRPr lang="es-MX" sz="1100"/>
            </a:p>
          </xdr:txBody>
        </xdr:sp>
      </mc:Choice>
      <mc:Fallback xmlns="">
        <xdr:sp macro="" textlink="">
          <xdr:nvSpPr>
            <xdr:cNvPr id="28" name="CuadroTexto 27">
              <a:extLst>
                <a:ext uri="{FF2B5EF4-FFF2-40B4-BE49-F238E27FC236}">
                  <a16:creationId xmlns:a16="http://schemas.microsoft.com/office/drawing/2014/main" id="{1A8F5B49-822E-4FFD-9C4B-5F4C7AE683F2}"/>
                </a:ext>
              </a:extLst>
            </xdr:cNvPr>
            <xdr:cNvSpPr txBox="1"/>
          </xdr:nvSpPr>
          <xdr:spPr>
            <a:xfrm>
              <a:off x="17506950" y="3643312"/>
              <a:ext cx="199028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𝑉𝑎𝑙𝑜𝑟 𝑓𝑢𝑡𝑢𝑟𝑜 𝑑𝑒 𝑢𝑛𝑎 𝑖𝑛𝑣𝑒𝑟𝑠𝑖ó𝑛</a:t>
              </a:r>
              <a:endParaRPr lang="es-MX" sz="1100"/>
            </a:p>
          </xdr:txBody>
        </xdr:sp>
      </mc:Fallback>
    </mc:AlternateContent>
    <xdr:clientData/>
  </xdr:oneCellAnchor>
  <xdr:oneCellAnchor>
    <xdr:from>
      <xdr:col>24</xdr:col>
      <xdr:colOff>952500</xdr:colOff>
      <xdr:row>20</xdr:row>
      <xdr:rowOff>119062</xdr:rowOff>
    </xdr:from>
    <xdr:ext cx="1182823" cy="175433"/>
    <mc:AlternateContent xmlns:mc="http://schemas.openxmlformats.org/markup-compatibility/2006" xmlns:a14="http://schemas.microsoft.com/office/drawing/2010/main">
      <mc:Choice Requires="a14">
        <xdr:sp macro="" textlink="">
          <xdr:nvSpPr>
            <xdr:cNvPr id="29" name="CuadroTexto 28">
              <a:extLst>
                <a:ext uri="{FF2B5EF4-FFF2-40B4-BE49-F238E27FC236}">
                  <a16:creationId xmlns:a16="http://schemas.microsoft.com/office/drawing/2014/main" id="{00000000-0008-0000-0100-00001D000000}"/>
                </a:ext>
              </a:extLst>
            </xdr:cNvPr>
            <xdr:cNvSpPr txBox="1"/>
          </xdr:nvSpPr>
          <xdr:spPr>
            <a:xfrm>
              <a:off x="19050000" y="3929062"/>
              <a:ext cx="1182823" cy="175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𝑉𝐹</m:t>
                    </m:r>
                    <m:r>
                      <a:rPr lang="es-MX" sz="1100" b="0" i="1">
                        <a:latin typeface="Cambria Math" panose="02040503050406030204" pitchFamily="18" charset="0"/>
                      </a:rPr>
                      <m:t>=</m:t>
                    </m:r>
                    <m:r>
                      <a:rPr lang="es-MX" sz="1100" b="0" i="1">
                        <a:latin typeface="Cambria Math" panose="02040503050406030204" pitchFamily="18" charset="0"/>
                      </a:rPr>
                      <m:t>𝑉𝑃</m:t>
                    </m:r>
                    <m:r>
                      <a:rPr lang="es-MX" sz="1100" b="0" i="1">
                        <a:latin typeface="Cambria Math" panose="02040503050406030204" pitchFamily="18" charset="0"/>
                        <a:ea typeface="Cambria Math" panose="02040503050406030204" pitchFamily="18" charset="0"/>
                      </a:rPr>
                      <m:t>∙</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𝑟</m:t>
                        </m:r>
                        <m:r>
                          <a:rPr lang="es-MX" sz="1100" b="0" i="1">
                            <a:latin typeface="Cambria Math" panose="02040503050406030204" pitchFamily="18" charset="0"/>
                            <a:ea typeface="Cambria Math" panose="02040503050406030204" pitchFamily="18" charset="0"/>
                          </a:rPr>
                          <m:t>)</m:t>
                        </m:r>
                      </m:e>
                      <m:sup>
                        <m:r>
                          <a:rPr lang="es-MX" sz="1100" b="0" i="1">
                            <a:latin typeface="Cambria Math" panose="02040503050406030204" pitchFamily="18" charset="0"/>
                            <a:ea typeface="Cambria Math" panose="02040503050406030204" pitchFamily="18" charset="0"/>
                          </a:rPr>
                          <m:t>𝑇</m:t>
                        </m:r>
                      </m:sup>
                    </m:sSup>
                  </m:oMath>
                </m:oMathPara>
              </a14:m>
              <a:endParaRPr lang="es-MX" sz="1100"/>
            </a:p>
          </xdr:txBody>
        </xdr:sp>
      </mc:Choice>
      <mc:Fallback xmlns="">
        <xdr:sp macro="" textlink="">
          <xdr:nvSpPr>
            <xdr:cNvPr id="29" name="CuadroTexto 28">
              <a:extLst>
                <a:ext uri="{FF2B5EF4-FFF2-40B4-BE49-F238E27FC236}">
                  <a16:creationId xmlns:a16="http://schemas.microsoft.com/office/drawing/2014/main" id="{AB2A6045-8563-4AE7-9DAB-FE01FED4FFB2}"/>
                </a:ext>
              </a:extLst>
            </xdr:cNvPr>
            <xdr:cNvSpPr txBox="1"/>
          </xdr:nvSpPr>
          <xdr:spPr>
            <a:xfrm>
              <a:off x="19050000" y="3929062"/>
              <a:ext cx="1182823" cy="175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𝑉𝐹=𝑉𝑃</a:t>
              </a:r>
              <a:r>
                <a:rPr lang="es-MX" sz="1100" b="0" i="0">
                  <a:latin typeface="Cambria Math" panose="02040503050406030204" pitchFamily="18" charset="0"/>
                  <a:ea typeface="Cambria Math" panose="02040503050406030204" pitchFamily="18" charset="0"/>
                </a:rPr>
                <a:t>∙〖(1+𝑟)〗^𝑇</a:t>
              </a:r>
              <a:endParaRPr lang="es-MX" sz="1100"/>
            </a:p>
          </xdr:txBody>
        </xdr:sp>
      </mc:Fallback>
    </mc:AlternateContent>
    <xdr:clientData/>
  </xdr:oneCellAnchor>
  <xdr:oneCellAnchor>
    <xdr:from>
      <xdr:col>22</xdr:col>
      <xdr:colOff>723900</xdr:colOff>
      <xdr:row>34</xdr:row>
      <xdr:rowOff>19050</xdr:rowOff>
    </xdr:from>
    <xdr:ext cx="3948197" cy="180434"/>
    <mc:AlternateContent xmlns:mc="http://schemas.openxmlformats.org/markup-compatibility/2006" xmlns:a14="http://schemas.microsoft.com/office/drawing/2010/main">
      <mc:Choice Requires="a14">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17487900" y="6496050"/>
              <a:ext cx="3948197" cy="180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chemeClr val="tx1"/>
                        </a:solidFill>
                        <a:latin typeface="Cambria Math" panose="02040503050406030204" pitchFamily="18" charset="0"/>
                        <a:ea typeface="+mn-ea"/>
                        <a:cs typeface="+mn-cs"/>
                      </a:rPr>
                      <m:t>𝑪𝒂𝒔𝒐</m:t>
                    </m:r>
                    <m:r>
                      <a:rPr lang="es-MX" sz="1200" b="1" i="1">
                        <a:solidFill>
                          <a:schemeClr val="tx1"/>
                        </a:solidFill>
                        <a:latin typeface="Cambria Math" panose="02040503050406030204" pitchFamily="18" charset="0"/>
                        <a:ea typeface="+mn-ea"/>
                        <a:cs typeface="+mn-cs"/>
                      </a:rPr>
                      <m:t> </m:t>
                    </m:r>
                    <m:r>
                      <a:rPr lang="es-MX" sz="1200" b="1" i="1">
                        <a:solidFill>
                          <a:schemeClr val="tx1"/>
                        </a:solidFill>
                        <a:latin typeface="Cambria Math" panose="02040503050406030204" pitchFamily="18" charset="0"/>
                        <a:ea typeface="+mn-ea"/>
                        <a:cs typeface="+mn-cs"/>
                      </a:rPr>
                      <m:t>𝟑</m:t>
                    </m:r>
                    <m: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Bradley</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School</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of</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Business</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del</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Mount</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Perry</m:t>
                    </m:r>
                    <m:r>
                      <m:rPr>
                        <m:nor/>
                      </m:rPr>
                      <a:rPr lang="es-MX" sz="1200" b="1" i="1">
                        <a:solidFill>
                          <a:schemeClr val="tx1"/>
                        </a:solidFill>
                        <a:latin typeface="Cambria Math" panose="02040503050406030204" pitchFamily="18" charset="0"/>
                        <a:ea typeface="+mn-ea"/>
                        <a:cs typeface="+mn-cs"/>
                      </a:rPr>
                      <m:t> </m:t>
                    </m:r>
                    <m:r>
                      <m:rPr>
                        <m:nor/>
                      </m:rPr>
                      <a:rPr lang="es-MX" sz="1200" b="1" i="1">
                        <a:solidFill>
                          <a:schemeClr val="tx1"/>
                        </a:solidFill>
                        <a:latin typeface="Cambria Math" panose="02040503050406030204" pitchFamily="18" charset="0"/>
                        <a:ea typeface="+mn-ea"/>
                        <a:cs typeface="+mn-cs"/>
                      </a:rPr>
                      <m:t>College</m:t>
                    </m:r>
                    <m:r>
                      <a:rPr lang="es-MX" sz="1200" b="1" i="1">
                        <a:solidFill>
                          <a:schemeClr val="tx1"/>
                        </a:solidFill>
                        <a:latin typeface="Cambria Math" panose="02040503050406030204" pitchFamily="18" charset="0"/>
                        <a:ea typeface="+mn-ea"/>
                        <a:cs typeface="+mn-cs"/>
                      </a:rPr>
                      <m:t> </m:t>
                    </m:r>
                  </m:oMath>
                </m:oMathPara>
              </a14:m>
              <a:endParaRPr lang="es-MX" sz="1200" b="1" i="1">
                <a:solidFill>
                  <a:schemeClr val="tx1"/>
                </a:solidFill>
                <a:latin typeface="Cambria Math" panose="02040503050406030204" pitchFamily="18" charset="0"/>
                <a:ea typeface="+mn-ea"/>
                <a:cs typeface="+mn-cs"/>
              </a:endParaRPr>
            </a:p>
          </xdr:txBody>
        </xdr:sp>
      </mc:Choice>
      <mc:Fallback xmlns="">
        <xdr:sp macro="" textlink="">
          <xdr:nvSpPr>
            <xdr:cNvPr id="30" name="CuadroTexto 29">
              <a:extLst>
                <a:ext uri="{FF2B5EF4-FFF2-40B4-BE49-F238E27FC236}">
                  <a16:creationId xmlns:a16="http://schemas.microsoft.com/office/drawing/2014/main" id="{CF553EAE-342B-4F42-87F2-2A9576104C8F}"/>
                </a:ext>
              </a:extLst>
            </xdr:cNvPr>
            <xdr:cNvSpPr txBox="1"/>
          </xdr:nvSpPr>
          <xdr:spPr>
            <a:xfrm>
              <a:off x="17487900" y="6496050"/>
              <a:ext cx="3948197" cy="180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chemeClr val="tx1"/>
                  </a:solidFill>
                  <a:latin typeface="Cambria Math" panose="02040503050406030204" pitchFamily="18" charset="0"/>
                  <a:ea typeface="+mn-ea"/>
                  <a:cs typeface="+mn-cs"/>
                </a:rPr>
                <a:t>𝑪𝒂𝒔𝒐 𝟑. "Bradley School of Business, del Mount Perry College" </a:t>
              </a:r>
              <a:endParaRPr lang="es-MX" sz="1200" b="1" i="1">
                <a:solidFill>
                  <a:schemeClr val="tx1"/>
                </a:solidFill>
                <a:latin typeface="Cambria Math" panose="02040503050406030204" pitchFamily="18" charset="0"/>
                <a:ea typeface="+mn-ea"/>
                <a:cs typeface="+mn-cs"/>
              </a:endParaRPr>
            </a:p>
          </xdr:txBody>
        </xdr:sp>
      </mc:Fallback>
    </mc:AlternateContent>
    <xdr:clientData/>
  </xdr:oneCellAnchor>
  <xdr:oneCellAnchor>
    <xdr:from>
      <xdr:col>22</xdr:col>
      <xdr:colOff>742950</xdr:colOff>
      <xdr:row>35</xdr:row>
      <xdr:rowOff>23812</xdr:rowOff>
    </xdr:from>
    <xdr:ext cx="1990288" cy="172227"/>
    <mc:AlternateContent xmlns:mc="http://schemas.openxmlformats.org/markup-compatibility/2006" xmlns:a14="http://schemas.microsoft.com/office/drawing/2010/main">
      <mc:Choice Requires="a14">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17506950" y="6691312"/>
              <a:ext cx="199028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𝑉𝑎𝑙𝑜𝑟</m:t>
                    </m:r>
                    <m:r>
                      <a:rPr lang="es-MX" sz="1100" b="0" i="1">
                        <a:latin typeface="Cambria Math" panose="02040503050406030204" pitchFamily="18" charset="0"/>
                      </a:rPr>
                      <m:t> </m:t>
                    </m:r>
                    <m:r>
                      <a:rPr lang="es-MX" sz="1100" b="0" i="1">
                        <a:latin typeface="Cambria Math" panose="02040503050406030204" pitchFamily="18" charset="0"/>
                      </a:rPr>
                      <m:t>𝑓𝑢𝑡𝑢𝑟𝑜</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𝑢𝑛𝑎</m:t>
                    </m:r>
                    <m:r>
                      <a:rPr lang="es-MX" sz="1100" b="0" i="1">
                        <a:latin typeface="Cambria Math" panose="02040503050406030204" pitchFamily="18" charset="0"/>
                      </a:rPr>
                      <m:t> </m:t>
                    </m:r>
                    <m:r>
                      <a:rPr lang="es-MX" sz="1100" b="0" i="1">
                        <a:latin typeface="Cambria Math" panose="02040503050406030204" pitchFamily="18" charset="0"/>
                      </a:rPr>
                      <m:t>𝑖𝑛𝑣𝑒𝑟𝑠𝑖</m:t>
                    </m:r>
                    <m:r>
                      <a:rPr lang="es-MX" sz="1100" b="0" i="1">
                        <a:latin typeface="Cambria Math" panose="02040503050406030204" pitchFamily="18" charset="0"/>
                      </a:rPr>
                      <m:t>ó</m:t>
                    </m:r>
                    <m:r>
                      <a:rPr lang="es-MX" sz="1100" b="0" i="1">
                        <a:latin typeface="Cambria Math" panose="02040503050406030204" pitchFamily="18" charset="0"/>
                      </a:rPr>
                      <m:t>𝑛</m:t>
                    </m:r>
                  </m:oMath>
                </m:oMathPara>
              </a14:m>
              <a:endParaRPr lang="es-MX" sz="1100"/>
            </a:p>
          </xdr:txBody>
        </xdr:sp>
      </mc:Choice>
      <mc:Fallback xmlns="">
        <xdr:sp macro="" textlink="">
          <xdr:nvSpPr>
            <xdr:cNvPr id="31" name="CuadroTexto 30">
              <a:extLst>
                <a:ext uri="{FF2B5EF4-FFF2-40B4-BE49-F238E27FC236}">
                  <a16:creationId xmlns:a16="http://schemas.microsoft.com/office/drawing/2014/main" id="{53714DDF-26A0-414B-B025-3E29FC375A10}"/>
                </a:ext>
              </a:extLst>
            </xdr:cNvPr>
            <xdr:cNvSpPr txBox="1"/>
          </xdr:nvSpPr>
          <xdr:spPr>
            <a:xfrm>
              <a:off x="17506950" y="6691312"/>
              <a:ext cx="199028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𝑉𝑎𝑙𝑜𝑟 𝑓𝑢𝑡𝑢𝑟𝑜 𝑑𝑒 𝑢𝑛𝑎 𝑖𝑛𝑣𝑒𝑟𝑠𝑖ó𝑛</a:t>
              </a:r>
              <a:endParaRPr lang="es-MX" sz="1100"/>
            </a:p>
          </xdr:txBody>
        </xdr:sp>
      </mc:Fallback>
    </mc:AlternateContent>
    <xdr:clientData/>
  </xdr:oneCellAnchor>
  <xdr:oneCellAnchor>
    <xdr:from>
      <xdr:col>24</xdr:col>
      <xdr:colOff>942975</xdr:colOff>
      <xdr:row>36</xdr:row>
      <xdr:rowOff>80962</xdr:rowOff>
    </xdr:from>
    <xdr:ext cx="1182823" cy="175433"/>
    <mc:AlternateContent xmlns:mc="http://schemas.openxmlformats.org/markup-compatibility/2006" xmlns:a14="http://schemas.microsoft.com/office/drawing/2010/main">
      <mc:Choice Requires="a14">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19050000" y="6938962"/>
              <a:ext cx="1182823" cy="175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𝑉𝐹</m:t>
                    </m:r>
                    <m:r>
                      <a:rPr lang="es-MX" sz="1100" b="0" i="1">
                        <a:latin typeface="Cambria Math" panose="02040503050406030204" pitchFamily="18" charset="0"/>
                      </a:rPr>
                      <m:t>=</m:t>
                    </m:r>
                    <m:r>
                      <a:rPr lang="es-MX" sz="1100" b="0" i="1">
                        <a:latin typeface="Cambria Math" panose="02040503050406030204" pitchFamily="18" charset="0"/>
                      </a:rPr>
                      <m:t>𝑉𝑃</m:t>
                    </m:r>
                    <m:r>
                      <a:rPr lang="es-MX" sz="1100" b="0" i="1">
                        <a:latin typeface="Cambria Math" panose="02040503050406030204" pitchFamily="18" charset="0"/>
                        <a:ea typeface="Cambria Math" panose="02040503050406030204" pitchFamily="18" charset="0"/>
                      </a:rPr>
                      <m:t>∙</m:t>
                    </m:r>
                    <m:sSup>
                      <m:sSupPr>
                        <m:ctrlPr>
                          <a:rPr lang="es-MX" sz="1100" b="0" i="1">
                            <a:latin typeface="Cambria Math" panose="02040503050406030204" pitchFamily="18" charset="0"/>
                            <a:ea typeface="Cambria Math" panose="02040503050406030204" pitchFamily="18" charset="0"/>
                          </a:rPr>
                        </m:ctrlPr>
                      </m:sSupPr>
                      <m:e>
                        <m:r>
                          <a:rPr lang="es-MX" sz="1100" b="0" i="1">
                            <a:latin typeface="Cambria Math" panose="02040503050406030204" pitchFamily="18" charset="0"/>
                            <a:ea typeface="Cambria Math" panose="02040503050406030204" pitchFamily="18" charset="0"/>
                          </a:rPr>
                          <m:t>(1+</m:t>
                        </m:r>
                        <m:r>
                          <a:rPr lang="es-MX" sz="1100" b="0" i="1">
                            <a:latin typeface="Cambria Math" panose="02040503050406030204" pitchFamily="18" charset="0"/>
                            <a:ea typeface="Cambria Math" panose="02040503050406030204" pitchFamily="18" charset="0"/>
                          </a:rPr>
                          <m:t>𝑟</m:t>
                        </m:r>
                        <m:r>
                          <a:rPr lang="es-MX" sz="1100" b="0" i="1">
                            <a:latin typeface="Cambria Math" panose="02040503050406030204" pitchFamily="18" charset="0"/>
                            <a:ea typeface="Cambria Math" panose="02040503050406030204" pitchFamily="18" charset="0"/>
                          </a:rPr>
                          <m:t>)</m:t>
                        </m:r>
                      </m:e>
                      <m:sup>
                        <m:r>
                          <a:rPr lang="es-MX" sz="1100" b="0" i="1">
                            <a:latin typeface="Cambria Math" panose="02040503050406030204" pitchFamily="18" charset="0"/>
                            <a:ea typeface="Cambria Math" panose="02040503050406030204" pitchFamily="18" charset="0"/>
                          </a:rPr>
                          <m:t>𝑇</m:t>
                        </m:r>
                      </m:sup>
                    </m:sSup>
                  </m:oMath>
                </m:oMathPara>
              </a14:m>
              <a:endParaRPr lang="es-MX" sz="1100"/>
            </a:p>
          </xdr:txBody>
        </xdr:sp>
      </mc:Choice>
      <mc:Fallback xmlns="">
        <xdr:sp macro="" textlink="">
          <xdr:nvSpPr>
            <xdr:cNvPr id="32" name="CuadroTexto 31">
              <a:extLst>
                <a:ext uri="{FF2B5EF4-FFF2-40B4-BE49-F238E27FC236}">
                  <a16:creationId xmlns:a16="http://schemas.microsoft.com/office/drawing/2014/main" id="{38357145-56F2-4A2E-B402-53E9F16C4264}"/>
                </a:ext>
              </a:extLst>
            </xdr:cNvPr>
            <xdr:cNvSpPr txBox="1"/>
          </xdr:nvSpPr>
          <xdr:spPr>
            <a:xfrm>
              <a:off x="19050000" y="6938962"/>
              <a:ext cx="1182823" cy="1754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𝑉𝐹=𝑉𝑃</a:t>
              </a:r>
              <a:r>
                <a:rPr lang="es-MX" sz="1100" b="0" i="0">
                  <a:latin typeface="Cambria Math" panose="02040503050406030204" pitchFamily="18" charset="0"/>
                  <a:ea typeface="Cambria Math" panose="02040503050406030204" pitchFamily="18" charset="0"/>
                </a:rPr>
                <a:t>∙〖(1+𝑟)〗^𝑇</a:t>
              </a:r>
              <a:endParaRPr lang="es-MX" sz="1100"/>
            </a:p>
          </xdr:txBody>
        </xdr:sp>
      </mc:Fallback>
    </mc:AlternateContent>
    <xdr:clientData/>
  </xdr:oneCellAnchor>
  <xdr:twoCellAnchor>
    <xdr:from>
      <xdr:col>22</xdr:col>
      <xdr:colOff>752474</xdr:colOff>
      <xdr:row>48</xdr:row>
      <xdr:rowOff>57149</xdr:rowOff>
    </xdr:from>
    <xdr:to>
      <xdr:col>27</xdr:col>
      <xdr:colOff>47625</xdr:colOff>
      <xdr:row>54</xdr:row>
      <xdr:rowOff>142874</xdr:rowOff>
    </xdr:to>
    <xdr:sp macro="" textlink="">
      <xdr:nvSpPr>
        <xdr:cNvPr id="33" name="CuadroTexto 32">
          <a:extLst>
            <a:ext uri="{FF2B5EF4-FFF2-40B4-BE49-F238E27FC236}">
              <a16:creationId xmlns:a16="http://schemas.microsoft.com/office/drawing/2014/main" id="{00000000-0008-0000-0100-000021000000}"/>
            </a:ext>
          </a:extLst>
        </xdr:cNvPr>
        <xdr:cNvSpPr txBox="1"/>
      </xdr:nvSpPr>
      <xdr:spPr>
        <a:xfrm>
          <a:off x="17516474" y="9201149"/>
          <a:ext cx="3105151" cy="1228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Consideramos</a:t>
          </a:r>
          <a:r>
            <a:rPr lang="es-MX" sz="1100" baseline="0"/>
            <a:t> que la variación entre los montos se conserva aunque los llevemos a valor futuro, es decir, en valor presente, el salario que percibirá después de graduarse del MBA de Walton es mayor que el salario que recibe si se queda en su trabajo o se gradua de la segunda opción de MBA, entonces en valor futuro se conserva el orden, siempre y cuando Ben realice los mismos cálculos que llevamos a cabo como argumentación en esta pregunta. </a:t>
          </a:r>
          <a:endParaRPr lang="es-MX" sz="1100"/>
        </a:p>
      </xdr:txBody>
    </xdr:sp>
    <xdr:clientData/>
  </xdr:twoCellAnchor>
  <xdr:twoCellAnchor>
    <xdr:from>
      <xdr:col>22</xdr:col>
      <xdr:colOff>742950</xdr:colOff>
      <xdr:row>56</xdr:row>
      <xdr:rowOff>0</xdr:rowOff>
    </xdr:from>
    <xdr:to>
      <xdr:col>27</xdr:col>
      <xdr:colOff>57150</xdr:colOff>
      <xdr:row>62</xdr:row>
      <xdr:rowOff>95249</xdr:rowOff>
    </xdr:to>
    <xdr:sp macro="" textlink="">
      <xdr:nvSpPr>
        <xdr:cNvPr id="34" name="CuadroTexto 33">
          <a:extLst>
            <a:ext uri="{FF2B5EF4-FFF2-40B4-BE49-F238E27FC236}">
              <a16:creationId xmlns:a16="http://schemas.microsoft.com/office/drawing/2014/main" id="{00000000-0008-0000-0100-000022000000}"/>
            </a:ext>
          </a:extLst>
        </xdr:cNvPr>
        <xdr:cNvSpPr txBox="1"/>
      </xdr:nvSpPr>
      <xdr:spPr>
        <a:xfrm>
          <a:off x="17506950" y="10668000"/>
          <a:ext cx="3124200" cy="1238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Para encontrar la oferta de salario, necesitaría hacer el MBA de Walton como financiero y que tan atractivo saldría como el trabajo actual, necesitamos tomar el VP</a:t>
          </a:r>
          <a:r>
            <a:rPr lang="es-MX" sz="1100" baseline="0"/>
            <a:t> del trabajo actual, agregar los costos de asistir a Walton, y el VP de la bonificación después de impuestos. </a:t>
          </a:r>
        </a:p>
        <a:p>
          <a:r>
            <a:rPr lang="es-MX" sz="1100" baseline="0"/>
            <a:t>Entonces, el VP necesario para realizar el programa en Walton MBA al igual que su trabajo actual será: </a:t>
          </a:r>
          <a:endParaRPr lang="es-MX" sz="1100"/>
        </a:p>
      </xdr:txBody>
    </xdr:sp>
    <xdr:clientData/>
  </xdr:twoCellAnchor>
  <xdr:oneCellAnchor>
    <xdr:from>
      <xdr:col>23</xdr:col>
      <xdr:colOff>57150</xdr:colOff>
      <xdr:row>63</xdr:row>
      <xdr:rowOff>23812</xdr:rowOff>
    </xdr:from>
    <xdr:ext cx="4488408" cy="172227"/>
    <mc:AlternateContent xmlns:mc="http://schemas.openxmlformats.org/markup-compatibility/2006" xmlns:a14="http://schemas.microsoft.com/office/drawing/2010/main">
      <mc:Choice Requires="a14">
        <xdr:sp macro="" textlink="">
          <xdr:nvSpPr>
            <xdr:cNvPr id="35" name="CuadroTexto 34">
              <a:extLst>
                <a:ext uri="{FF2B5EF4-FFF2-40B4-BE49-F238E27FC236}">
                  <a16:creationId xmlns:a16="http://schemas.microsoft.com/office/drawing/2014/main" id="{00000000-0008-0000-0100-000023000000}"/>
                </a:ext>
              </a:extLst>
            </xdr:cNvPr>
            <xdr:cNvSpPr txBox="1"/>
          </xdr:nvSpPr>
          <xdr:spPr>
            <a:xfrm>
              <a:off x="17583150" y="12025312"/>
              <a:ext cx="448840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𝑺𝒂𝒍𝒂𝒓𝒊𝒐</m:t>
                    </m:r>
                    <m:r>
                      <a:rPr lang="es-MX" sz="1100" b="1" i="1">
                        <a:latin typeface="Cambria Math" panose="02040503050406030204" pitchFamily="18" charset="0"/>
                      </a:rPr>
                      <m:t> </m:t>
                    </m:r>
                    <m:r>
                      <a:rPr lang="es-MX" sz="1100" b="1" i="1">
                        <a:latin typeface="Cambria Math" panose="02040503050406030204" pitchFamily="18" charset="0"/>
                      </a:rPr>
                      <m:t>𝒒𝒖𝒆</m:t>
                    </m:r>
                    <m:r>
                      <a:rPr lang="es-MX" sz="1100" b="1" i="1">
                        <a:latin typeface="Cambria Math" panose="02040503050406030204" pitchFamily="18" charset="0"/>
                      </a:rPr>
                      <m:t> </m:t>
                    </m:r>
                    <m:r>
                      <a:rPr lang="es-MX" sz="1100" b="1" i="1">
                        <a:latin typeface="Cambria Math" panose="02040503050406030204" pitchFamily="18" charset="0"/>
                      </a:rPr>
                      <m:t>𝒏𝒆𝒄𝒆𝒔𝒊𝒕𝒂</m:t>
                    </m:r>
                    <m:r>
                      <a:rPr lang="es-MX" sz="1100" b="1" i="1">
                        <a:latin typeface="Cambria Math" panose="02040503050406030204" pitchFamily="18" charset="0"/>
                      </a:rPr>
                      <m:t> </m:t>
                    </m:r>
                    <m:r>
                      <a:rPr lang="es-MX" sz="1100" b="1" i="1">
                        <a:latin typeface="Cambria Math" panose="02040503050406030204" pitchFamily="18" charset="0"/>
                      </a:rPr>
                      <m:t>𝑩𝒆𝒏</m:t>
                    </m:r>
                    <m:r>
                      <a:rPr lang="es-MX" sz="1100" b="1" i="1">
                        <a:latin typeface="Cambria Math" panose="02040503050406030204" pitchFamily="18" charset="0"/>
                      </a:rPr>
                      <m:t> </m:t>
                    </m:r>
                    <m:r>
                      <a:rPr lang="es-MX" sz="1100" b="1" i="1">
                        <a:latin typeface="Cambria Math" panose="02040503050406030204" pitchFamily="18" charset="0"/>
                      </a:rPr>
                      <m:t>𝒑𝒂𝒓𝒂</m:t>
                    </m:r>
                    <m:r>
                      <a:rPr lang="es-MX" sz="1100" b="1" i="1">
                        <a:latin typeface="Cambria Math" panose="02040503050406030204" pitchFamily="18" charset="0"/>
                      </a:rPr>
                      <m:t> </m:t>
                    </m:r>
                    <m:r>
                      <a:rPr lang="es-MX" sz="1100" b="1" i="1">
                        <a:latin typeface="Cambria Math" panose="02040503050406030204" pitchFamily="18" charset="0"/>
                      </a:rPr>
                      <m:t>𝒎𝒂𝒏𝒕𝒆𝒏𝒆𝒓𝒔𝒆</m:t>
                    </m:r>
                    <m:r>
                      <a:rPr lang="es-MX" sz="1100" b="1" i="1">
                        <a:latin typeface="Cambria Math" panose="02040503050406030204" pitchFamily="18" charset="0"/>
                      </a:rPr>
                      <m:t> </m:t>
                    </m:r>
                    <m:r>
                      <a:rPr lang="es-MX" sz="1100" b="1" i="1">
                        <a:latin typeface="Cambria Math" panose="02040503050406030204" pitchFamily="18" charset="0"/>
                      </a:rPr>
                      <m:t>𝒆𝒏</m:t>
                    </m:r>
                    <m:r>
                      <a:rPr lang="es-MX" sz="1100" b="1" i="1">
                        <a:latin typeface="Cambria Math" panose="02040503050406030204" pitchFamily="18" charset="0"/>
                      </a:rPr>
                      <m:t> </m:t>
                    </m:r>
                    <m:r>
                      <a:rPr lang="es-MX" sz="1100" b="1" i="1">
                        <a:latin typeface="Cambria Math" panose="02040503050406030204" pitchFamily="18" charset="0"/>
                      </a:rPr>
                      <m:t>𝒔𝒖</m:t>
                    </m:r>
                    <m:r>
                      <a:rPr lang="es-MX" sz="1100" b="1" i="1">
                        <a:latin typeface="Cambria Math" panose="02040503050406030204" pitchFamily="18" charset="0"/>
                      </a:rPr>
                      <m:t> </m:t>
                    </m:r>
                    <m:r>
                      <a:rPr lang="es-MX" sz="1100" b="1" i="1">
                        <a:latin typeface="Cambria Math" panose="02040503050406030204" pitchFamily="18" charset="0"/>
                      </a:rPr>
                      <m:t>𝒕𝒓𝒂𝒃𝒂𝒋𝒐</m:t>
                    </m:r>
                    <m:r>
                      <a:rPr lang="es-MX" sz="1100" b="1" i="1">
                        <a:latin typeface="Cambria Math" panose="02040503050406030204" pitchFamily="18" charset="0"/>
                      </a:rPr>
                      <m:t> </m:t>
                    </m:r>
                    <m:r>
                      <a:rPr lang="es-MX" sz="1100" b="1" i="1">
                        <a:latin typeface="Cambria Math" panose="02040503050406030204" pitchFamily="18" charset="0"/>
                      </a:rPr>
                      <m:t>𝒂𝒄𝒕𝒖𝒂𝒍</m:t>
                    </m:r>
                    <m:r>
                      <a:rPr lang="es-MX" sz="1100" b="1" i="1">
                        <a:latin typeface="Cambria Math" panose="02040503050406030204" pitchFamily="18" charset="0"/>
                      </a:rPr>
                      <m:t>. </m:t>
                    </m:r>
                  </m:oMath>
                </m:oMathPara>
              </a14:m>
              <a:endParaRPr lang="es-MX" sz="1100" b="1"/>
            </a:p>
          </xdr:txBody>
        </xdr:sp>
      </mc:Choice>
      <mc:Fallback xmlns="">
        <xdr:sp macro="" textlink="">
          <xdr:nvSpPr>
            <xdr:cNvPr id="35" name="CuadroTexto 34">
              <a:extLst>
                <a:ext uri="{FF2B5EF4-FFF2-40B4-BE49-F238E27FC236}">
                  <a16:creationId xmlns:a16="http://schemas.microsoft.com/office/drawing/2014/main" id="{CEC54779-B684-44D2-B769-A27BBA359759}"/>
                </a:ext>
              </a:extLst>
            </xdr:cNvPr>
            <xdr:cNvSpPr txBox="1"/>
          </xdr:nvSpPr>
          <xdr:spPr>
            <a:xfrm>
              <a:off x="17583150" y="12025312"/>
              <a:ext cx="448840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𝑺𝒂𝒍𝒂𝒓𝒊𝒐 𝒒𝒖𝒆 𝒏𝒆𝒄𝒆𝒔𝒊𝒕𝒂 𝑩𝒆𝒏 𝒑𝒂𝒓𝒂 𝒎𝒂𝒏𝒕𝒆𝒏𝒆𝒓𝒔𝒆 𝒆𝒏 𝒔𝒖 𝒕𝒓𝒂𝒃𝒂𝒋𝒐 𝒂𝒄𝒕𝒖𝒂𝒍. </a:t>
              </a:r>
              <a:endParaRPr lang="es-MX" sz="1100" b="1"/>
            </a:p>
          </xdr:txBody>
        </xdr:sp>
      </mc:Fallback>
    </mc:AlternateContent>
    <xdr:clientData/>
  </xdr:oneCellAnchor>
  <xdr:oneCellAnchor>
    <xdr:from>
      <xdr:col>24</xdr:col>
      <xdr:colOff>723900</xdr:colOff>
      <xdr:row>73</xdr:row>
      <xdr:rowOff>38100</xdr:rowOff>
    </xdr:from>
    <xdr:ext cx="1504950" cy="581025"/>
    <mc:AlternateContent xmlns:mc="http://schemas.openxmlformats.org/markup-compatibility/2006" xmlns:a14="http://schemas.microsoft.com/office/drawing/2010/main">
      <mc:Choice Requires="a14">
        <xdr:sp macro="" textlink="">
          <xdr:nvSpPr>
            <xdr:cNvPr id="36" name="CuadroTexto 35">
              <a:extLst>
                <a:ext uri="{FF2B5EF4-FFF2-40B4-BE49-F238E27FC236}">
                  <a16:creationId xmlns:a16="http://schemas.microsoft.com/office/drawing/2014/main" id="{00000000-0008-0000-0100-000024000000}"/>
                </a:ext>
              </a:extLst>
            </xdr:cNvPr>
            <xdr:cNvSpPr txBox="1"/>
          </xdr:nvSpPr>
          <xdr:spPr>
            <a:xfrm>
              <a:off x="19011900" y="13944600"/>
              <a:ext cx="1504950" cy="581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r>
                      <a:rPr lang="es-MX" sz="1100" b="0" i="1">
                        <a:latin typeface="Cambria Math" panose="02040503050406030204" pitchFamily="18" charset="0"/>
                      </a:rPr>
                      <m:t>𝐶</m:t>
                    </m:r>
                    <m:d>
                      <m:dPr>
                        <m:begChr m:val="["/>
                        <m:endChr m:val="]"/>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m:t>
                            </m:r>
                            <m:sSup>
                              <m:sSupPr>
                                <m:ctrlPr>
                                  <a:rPr lang="es-MX" sz="1100" b="0" i="1">
                                    <a:latin typeface="Cambria Math" panose="02040503050406030204" pitchFamily="18" charset="0"/>
                                  </a:rPr>
                                </m:ctrlPr>
                              </m:sSup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m:t>
                                        </m:r>
                                        <m:r>
                                          <a:rPr lang="es-MX" sz="1100" b="0" i="1">
                                            <a:latin typeface="Cambria Math" panose="02040503050406030204" pitchFamily="18" charset="0"/>
                                          </a:rPr>
                                          <m:t>𝑔</m:t>
                                        </m:r>
                                      </m:num>
                                      <m:den>
                                        <m:r>
                                          <a:rPr lang="es-MX" sz="1100" b="0" i="1">
                                            <a:latin typeface="Cambria Math" panose="02040503050406030204" pitchFamily="18" charset="0"/>
                                          </a:rPr>
                                          <m:t>1+</m:t>
                                        </m:r>
                                        <m:r>
                                          <a:rPr lang="es-MX" sz="1100" b="0" i="1">
                                            <a:latin typeface="Cambria Math" panose="02040503050406030204" pitchFamily="18" charset="0"/>
                                          </a:rPr>
                                          <m:t>𝑟</m:t>
                                        </m:r>
                                      </m:den>
                                    </m:f>
                                  </m:e>
                                </m:d>
                              </m:e>
                              <m:sup>
                                <m:r>
                                  <a:rPr lang="es-MX" sz="1100" b="0" i="1">
                                    <a:latin typeface="Cambria Math" panose="02040503050406030204" pitchFamily="18" charset="0"/>
                                  </a:rPr>
                                  <m:t>𝑇</m:t>
                                </m:r>
                              </m:sup>
                            </m:sSup>
                          </m:num>
                          <m:den>
                            <m:r>
                              <a:rPr lang="es-MX" sz="1100" b="0" i="1">
                                <a:latin typeface="Cambria Math" panose="02040503050406030204" pitchFamily="18" charset="0"/>
                              </a:rPr>
                              <m:t>𝑟</m:t>
                            </m:r>
                            <m:r>
                              <a:rPr lang="es-MX" sz="1100" b="0" i="1">
                                <a:latin typeface="Cambria Math" panose="02040503050406030204" pitchFamily="18" charset="0"/>
                              </a:rPr>
                              <m:t>−</m:t>
                            </m:r>
                            <m:r>
                              <a:rPr lang="es-MX" sz="1100" b="0" i="1">
                                <a:latin typeface="Cambria Math" panose="02040503050406030204" pitchFamily="18" charset="0"/>
                              </a:rPr>
                              <m:t>𝑔</m:t>
                            </m:r>
                          </m:den>
                        </m:f>
                      </m:e>
                    </m:d>
                  </m:oMath>
                </m:oMathPara>
              </a14:m>
              <a:endParaRPr lang="es-MX" sz="1100" b="0"/>
            </a:p>
            <a:p>
              <a:endParaRPr lang="es-MX" sz="1100"/>
            </a:p>
          </xdr:txBody>
        </xdr:sp>
      </mc:Choice>
      <mc:Fallback xmlns="">
        <xdr:sp macro="" textlink="">
          <xdr:nvSpPr>
            <xdr:cNvPr id="36" name="CuadroTexto 35">
              <a:extLst>
                <a:ext uri="{FF2B5EF4-FFF2-40B4-BE49-F238E27FC236}">
                  <a16:creationId xmlns:a16="http://schemas.microsoft.com/office/drawing/2014/main" id="{A8195E35-66BC-4953-B9C0-777054ADD68D}"/>
                </a:ext>
              </a:extLst>
            </xdr:cNvPr>
            <xdr:cNvSpPr txBox="1"/>
          </xdr:nvSpPr>
          <xdr:spPr>
            <a:xfrm>
              <a:off x="19011900" y="13944600"/>
              <a:ext cx="1504950" cy="581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s-MX" sz="1100" b="0" i="0">
                  <a:latin typeface="Cambria Math" panose="02040503050406030204" pitchFamily="18" charset="0"/>
                </a:rPr>
                <a:t>𝑉𝑃=𝐶[(1−((1+𝑔)/(1+𝑟))^𝑇)/(𝑟−𝑔)]</a:t>
              </a:r>
              <a:endParaRPr lang="es-MX" sz="1100" b="0"/>
            </a:p>
            <a:p>
              <a:endParaRPr lang="es-MX" sz="1100"/>
            </a:p>
          </xdr:txBody>
        </xdr:sp>
      </mc:Fallback>
    </mc:AlternateContent>
    <xdr:clientData/>
  </xdr:oneCellAnchor>
  <xdr:oneCellAnchor>
    <xdr:from>
      <xdr:col>23</xdr:col>
      <xdr:colOff>133350</xdr:colOff>
      <xdr:row>82</xdr:row>
      <xdr:rowOff>42862</xdr:rowOff>
    </xdr:from>
    <xdr:ext cx="4378443" cy="172227"/>
    <mc:AlternateContent xmlns:mc="http://schemas.openxmlformats.org/markup-compatibility/2006" xmlns:a14="http://schemas.microsoft.com/office/drawing/2010/main">
      <mc:Choice Requires="a14">
        <xdr:sp macro="" textlink="">
          <xdr:nvSpPr>
            <xdr:cNvPr id="37" name="CuadroTexto 36">
              <a:extLst>
                <a:ext uri="{FF2B5EF4-FFF2-40B4-BE49-F238E27FC236}">
                  <a16:creationId xmlns:a16="http://schemas.microsoft.com/office/drawing/2014/main" id="{00000000-0008-0000-0100-000025000000}"/>
                </a:ext>
              </a:extLst>
            </xdr:cNvPr>
            <xdr:cNvSpPr txBox="1"/>
          </xdr:nvSpPr>
          <xdr:spPr>
            <a:xfrm>
              <a:off x="17659350" y="15663862"/>
              <a:ext cx="43784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1. </m:t>
                    </m:r>
                    <m:r>
                      <a:rPr lang="es-MX" sz="1100" b="0" i="1">
                        <a:latin typeface="Cambria Math" panose="02040503050406030204" pitchFamily="18" charset="0"/>
                      </a:rPr>
                      <m:t>𝐸𝑠𝑡𝑒</m:t>
                    </m:r>
                    <m:r>
                      <a:rPr lang="es-MX" sz="1100" b="0" i="1">
                        <a:latin typeface="Cambria Math" panose="02040503050406030204" pitchFamily="18" charset="0"/>
                      </a:rPr>
                      <m:t> </m:t>
                    </m:r>
                    <m:r>
                      <a:rPr lang="es-MX" sz="1100" b="0" i="1">
                        <a:latin typeface="Cambria Math" panose="02040503050406030204" pitchFamily="18" charset="0"/>
                      </a:rPr>
                      <m:t>𝑉𝑃</m:t>
                    </m:r>
                    <m:r>
                      <a:rPr lang="es-MX" sz="1100" b="0" i="1">
                        <a:latin typeface="Cambria Math" panose="02040503050406030204" pitchFamily="18" charset="0"/>
                      </a:rPr>
                      <m:t> </m:t>
                    </m:r>
                    <m:r>
                      <a:rPr lang="es-MX" sz="1100" b="0" i="1">
                        <a:latin typeface="Cambria Math" panose="02040503050406030204" pitchFamily="18" charset="0"/>
                      </a:rPr>
                      <m:t>h𝑎𝑟</m:t>
                    </m:r>
                    <m:r>
                      <a:rPr lang="es-MX" sz="1100" b="0" i="1">
                        <a:latin typeface="Cambria Math" panose="02040503050406030204" pitchFamily="18" charset="0"/>
                      </a:rPr>
                      <m:t>á </m:t>
                    </m:r>
                    <m:r>
                      <a:rPr lang="es-MX" sz="1100" b="0" i="1">
                        <a:latin typeface="Cambria Math" panose="02040503050406030204" pitchFamily="18" charset="0"/>
                      </a:rPr>
                      <m:t>𝑞𝑢𝑒</m:t>
                    </m:r>
                    <m:r>
                      <a:rPr lang="es-MX" sz="1100" b="0" i="1">
                        <a:latin typeface="Cambria Math" panose="02040503050406030204" pitchFamily="18" charset="0"/>
                      </a:rPr>
                      <m:t> </m:t>
                    </m:r>
                    <m:r>
                      <a:rPr lang="es-MX" sz="1100" b="0" i="1">
                        <a:latin typeface="Cambria Math" panose="02040503050406030204" pitchFamily="18" charset="0"/>
                      </a:rPr>
                      <m:t>𝑠𝑢</m:t>
                    </m:r>
                    <m:r>
                      <a:rPr lang="es-MX" sz="1100" b="0" i="1">
                        <a:latin typeface="Cambria Math" panose="02040503050406030204" pitchFamily="18" charset="0"/>
                      </a:rPr>
                      <m:t> </m:t>
                    </m:r>
                    <m:r>
                      <a:rPr lang="es-MX" sz="1100" b="0" i="1">
                        <a:latin typeface="Cambria Math" panose="02040503050406030204" pitchFamily="18" charset="0"/>
                      </a:rPr>
                      <m:t>𝑡𝑟𝑎𝑏𝑎𝑗𝑜</m:t>
                    </m:r>
                    <m:r>
                      <a:rPr lang="es-MX" sz="1100" b="0" i="1">
                        <a:latin typeface="Cambria Math" panose="02040503050406030204" pitchFamily="18" charset="0"/>
                      </a:rPr>
                      <m:t> </m:t>
                    </m:r>
                    <m:r>
                      <a:rPr lang="es-MX" sz="1100" b="0" i="1">
                        <a:latin typeface="Cambria Math" panose="02040503050406030204" pitchFamily="18" charset="0"/>
                      </a:rPr>
                      <m:t>𝑎𝑐𝑡𝑢𝑎𝑙</m:t>
                    </m:r>
                    <m:r>
                      <a:rPr lang="es-MX" sz="1100" b="0" i="1">
                        <a:latin typeface="Cambria Math" panose="02040503050406030204" pitchFamily="18" charset="0"/>
                      </a:rPr>
                      <m:t> </m:t>
                    </m:r>
                    <m:r>
                      <a:rPr lang="es-MX" sz="1100" b="0" i="1">
                        <a:latin typeface="Cambria Math" panose="02040503050406030204" pitchFamily="18" charset="0"/>
                      </a:rPr>
                      <m:t>𝑠𝑒𝑎</m:t>
                    </m:r>
                    <m:r>
                      <a:rPr lang="es-MX" sz="1100" b="0" i="1">
                        <a:latin typeface="Cambria Math" panose="02040503050406030204" pitchFamily="18" charset="0"/>
                      </a:rPr>
                      <m:t> </m:t>
                    </m:r>
                    <m:r>
                      <a:rPr lang="es-MX" sz="1100" b="0" i="1">
                        <a:latin typeface="Cambria Math" panose="02040503050406030204" pitchFamily="18" charset="0"/>
                      </a:rPr>
                      <m:t>𝑒𝑥𝑎𝑐𝑡𝑎𝑚𝑒𝑛𝑡𝑒</m:t>
                    </m:r>
                    <m:r>
                      <a:rPr lang="es-MX" sz="1100" b="0" i="1">
                        <a:latin typeface="Cambria Math" panose="02040503050406030204" pitchFamily="18" charset="0"/>
                      </a:rPr>
                      <m:t> </m:t>
                    </m:r>
                    <m:r>
                      <a:rPr lang="es-MX" sz="1100" b="0" i="1">
                        <a:latin typeface="Cambria Math" panose="02040503050406030204" pitchFamily="18" charset="0"/>
                      </a:rPr>
                      <m:t>𝑖𝑔𝑢𝑎𝑙</m:t>
                    </m:r>
                    <m:r>
                      <a:rPr lang="es-MX" sz="1100" b="0" i="1">
                        <a:latin typeface="Cambria Math" panose="02040503050406030204" pitchFamily="18" charset="0"/>
                      </a:rPr>
                      <m:t> </m:t>
                    </m:r>
                    <m:r>
                      <a:rPr lang="es-MX" sz="1100" b="0" i="1">
                        <a:latin typeface="Cambria Math" panose="02040503050406030204" pitchFamily="18" charset="0"/>
                      </a:rPr>
                      <m:t>𝑎𝑙</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𝑙𝑎</m:t>
                    </m:r>
                    <m:r>
                      <a:rPr lang="es-MX" sz="1100" b="0" i="1">
                        <a:latin typeface="Cambria Math" panose="02040503050406030204" pitchFamily="18" charset="0"/>
                      </a:rPr>
                      <m:t> </m:t>
                    </m:r>
                  </m:oMath>
                </m:oMathPara>
              </a14:m>
              <a:endParaRPr lang="es-MX" sz="1100" b="0"/>
            </a:p>
          </xdr:txBody>
        </xdr:sp>
      </mc:Choice>
      <mc:Fallback xmlns="">
        <xdr:sp macro="" textlink="">
          <xdr:nvSpPr>
            <xdr:cNvPr id="37" name="CuadroTexto 36">
              <a:extLst>
                <a:ext uri="{FF2B5EF4-FFF2-40B4-BE49-F238E27FC236}">
                  <a16:creationId xmlns:a16="http://schemas.microsoft.com/office/drawing/2014/main" id="{CE39B379-A4BD-4208-AD20-3C60C1EBC613}"/>
                </a:ext>
              </a:extLst>
            </xdr:cNvPr>
            <xdr:cNvSpPr txBox="1"/>
          </xdr:nvSpPr>
          <xdr:spPr>
            <a:xfrm>
              <a:off x="17659350" y="15663862"/>
              <a:ext cx="43784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1. 𝐸𝑠𝑡𝑒 𝑉𝑃 ℎ𝑎𝑟á 𝑞𝑢𝑒 𝑠𝑢 𝑡𝑟𝑎𝑏𝑎𝑗𝑜 𝑎𝑐𝑡𝑢𝑎𝑙 𝑠𝑒𝑎 𝑒𝑥𝑎𝑐𝑡𝑎𝑚𝑒𝑛𝑡𝑒 𝑖𝑔𝑢𝑎𝑙 𝑎𝑙 𝑑𝑒 𝑙𝑎 </a:t>
              </a:r>
              <a:endParaRPr lang="es-MX" sz="1100" b="0"/>
            </a:p>
          </xdr:txBody>
        </xdr:sp>
      </mc:Fallback>
    </mc:AlternateContent>
    <xdr:clientData/>
  </xdr:oneCellAnchor>
  <xdr:oneCellAnchor>
    <xdr:from>
      <xdr:col>23</xdr:col>
      <xdr:colOff>695325</xdr:colOff>
      <xdr:row>83</xdr:row>
      <xdr:rowOff>4762</xdr:rowOff>
    </xdr:from>
    <xdr:ext cx="3171574" cy="172227"/>
    <mc:AlternateContent xmlns:mc="http://schemas.openxmlformats.org/markup-compatibility/2006" xmlns:a14="http://schemas.microsoft.com/office/drawing/2010/main">
      <mc:Choice Requires="a14">
        <xdr:sp macro="" textlink="">
          <xdr:nvSpPr>
            <xdr:cNvPr id="38" name="CuadroTexto 37">
              <a:extLst>
                <a:ext uri="{FF2B5EF4-FFF2-40B4-BE49-F238E27FC236}">
                  <a16:creationId xmlns:a16="http://schemas.microsoft.com/office/drawing/2014/main" id="{00000000-0008-0000-0100-000026000000}"/>
                </a:ext>
              </a:extLst>
            </xdr:cNvPr>
            <xdr:cNvSpPr txBox="1"/>
          </xdr:nvSpPr>
          <xdr:spPr>
            <a:xfrm>
              <a:off x="18221325" y="15816262"/>
              <a:ext cx="31715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solidFill>
                          <a:schemeClr val="tx1"/>
                        </a:solidFill>
                        <a:effectLst/>
                        <a:latin typeface="Cambria Math" panose="02040503050406030204" pitchFamily="18" charset="0"/>
                        <a:ea typeface="+mn-ea"/>
                        <a:cs typeface="+mn-cs"/>
                      </a:rPr>
                      <m:t>𝑢𝑛𝑖𝑣𝑒𝑟𝑠𝑖𝑑𝑎𝑑</m:t>
                    </m:r>
                    <m:r>
                      <a:rPr lang="es-MX" sz="1100" b="0" i="1">
                        <a:solidFill>
                          <a:schemeClr val="tx1"/>
                        </a:solidFill>
                        <a:effectLst/>
                        <a:latin typeface="Cambria Math" panose="02040503050406030204" pitchFamily="18" charset="0"/>
                        <a:ea typeface="+mn-ea"/>
                        <a:cs typeface="+mn-cs"/>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𝑊𝑖𝑙𝑡𝑜𝑛</m:t>
                    </m:r>
                    <m:r>
                      <a:rPr lang="es-MX" sz="1100" b="0" i="1">
                        <a:latin typeface="Cambria Math" panose="02040503050406030204" pitchFamily="18" charset="0"/>
                      </a:rPr>
                      <m:t> </m:t>
                    </m:r>
                    <m:r>
                      <a:rPr lang="es-MX" sz="1100" b="0" i="1">
                        <a:latin typeface="Cambria Math" panose="02040503050406030204" pitchFamily="18" charset="0"/>
                      </a:rPr>
                      <m:t>𝑠𝑜𝑏𝑟𝑒</m:t>
                    </m:r>
                    <m:r>
                      <a:rPr lang="es-MX" sz="1100" b="0" i="1">
                        <a:latin typeface="Cambria Math" panose="02040503050406030204" pitchFamily="18" charset="0"/>
                      </a:rPr>
                      <m:t> </m:t>
                    </m:r>
                    <m:r>
                      <a:rPr lang="es-MX" sz="1100" b="0" i="1">
                        <a:latin typeface="Cambria Math" panose="02040503050406030204" pitchFamily="18" charset="0"/>
                      </a:rPr>
                      <m:t>𝑢𝑛𝑎</m:t>
                    </m:r>
                    <m:r>
                      <a:rPr lang="es-MX" sz="1100" b="0" i="1">
                        <a:latin typeface="Cambria Math" panose="02040503050406030204" pitchFamily="18" charset="0"/>
                      </a:rPr>
                      <m:t> </m:t>
                    </m:r>
                    <m:r>
                      <a:rPr lang="es-MX" sz="1100" b="0" i="1">
                        <a:latin typeface="Cambria Math" panose="02040503050406030204" pitchFamily="18" charset="0"/>
                      </a:rPr>
                      <m:t>𝑏𝑎𝑠𝑒</m:t>
                    </m:r>
                    <m:r>
                      <a:rPr lang="es-MX" sz="1100" b="0" i="1">
                        <a:latin typeface="Cambria Math" panose="02040503050406030204" pitchFamily="18" charset="0"/>
                      </a:rPr>
                      <m:t> </m:t>
                    </m:r>
                    <m:r>
                      <a:rPr lang="es-MX" sz="1100" b="0" i="1">
                        <a:latin typeface="Cambria Math" panose="02040503050406030204" pitchFamily="18" charset="0"/>
                      </a:rPr>
                      <m:t>𝑓𝑖𝑛𝑎𝑛𝑐𝑖𝑒𝑟𝑎</m:t>
                    </m:r>
                  </m:oMath>
                </m:oMathPara>
              </a14:m>
              <a:endParaRPr lang="es-MX" sz="1100"/>
            </a:p>
          </xdr:txBody>
        </xdr:sp>
      </mc:Choice>
      <mc:Fallback xmlns="">
        <xdr:sp macro="" textlink="">
          <xdr:nvSpPr>
            <xdr:cNvPr id="38" name="CuadroTexto 37">
              <a:extLst>
                <a:ext uri="{FF2B5EF4-FFF2-40B4-BE49-F238E27FC236}">
                  <a16:creationId xmlns:a16="http://schemas.microsoft.com/office/drawing/2014/main" id="{9E765667-2907-4AA8-9E95-72FFFCB26DF1}"/>
                </a:ext>
              </a:extLst>
            </xdr:cNvPr>
            <xdr:cNvSpPr txBox="1"/>
          </xdr:nvSpPr>
          <xdr:spPr>
            <a:xfrm>
              <a:off x="18221325" y="15816262"/>
              <a:ext cx="31715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solidFill>
                    <a:schemeClr val="tx1"/>
                  </a:solidFill>
                  <a:effectLst/>
                  <a:latin typeface="Cambria Math" panose="02040503050406030204" pitchFamily="18" charset="0"/>
                  <a:ea typeface="+mn-ea"/>
                  <a:cs typeface="+mn-cs"/>
                </a:rPr>
                <a:t>𝑢𝑛𝑖𝑣𝑒𝑟𝑠𝑖𝑑𝑎𝑑 </a:t>
              </a:r>
              <a:r>
                <a:rPr lang="es-MX" sz="1100" b="0" i="0">
                  <a:latin typeface="Cambria Math" panose="02040503050406030204" pitchFamily="18" charset="0"/>
                </a:rPr>
                <a:t>𝑑𝑒 𝑊𝑖𝑙𝑡𝑜𝑛 𝑠𝑜𝑏𝑟𝑒 𝑢𝑛𝑎 𝑏𝑎𝑠𝑒 𝑓𝑖𝑛𝑎𝑛𝑐𝑖𝑒𝑟𝑎</a:t>
              </a:r>
              <a:endParaRPr lang="es-MX" sz="1100"/>
            </a:p>
          </xdr:txBody>
        </xdr:sp>
      </mc:Fallback>
    </mc:AlternateContent>
    <xdr:clientData/>
  </xdr:oneCellAnchor>
  <xdr:oneCellAnchor>
    <xdr:from>
      <xdr:col>22</xdr:col>
      <xdr:colOff>704850</xdr:colOff>
      <xdr:row>93</xdr:row>
      <xdr:rowOff>0</xdr:rowOff>
    </xdr:from>
    <xdr:ext cx="2181226" cy="537968"/>
    <mc:AlternateContent xmlns:mc="http://schemas.openxmlformats.org/markup-compatibility/2006" xmlns:a14="http://schemas.microsoft.com/office/drawing/2010/main">
      <mc:Choice Requires="a14">
        <xdr:sp macro="" textlink="">
          <xdr:nvSpPr>
            <xdr:cNvPr id="39" name="CuadroTexto 38">
              <a:extLst>
                <a:ext uri="{FF2B5EF4-FFF2-40B4-BE49-F238E27FC236}">
                  <a16:creationId xmlns:a16="http://schemas.microsoft.com/office/drawing/2014/main" id="{00000000-0008-0000-0100-000027000000}"/>
                </a:ext>
              </a:extLst>
            </xdr:cNvPr>
            <xdr:cNvSpPr txBox="1"/>
          </xdr:nvSpPr>
          <xdr:spPr>
            <a:xfrm>
              <a:off x="17468850" y="17716500"/>
              <a:ext cx="2181226" cy="537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r>
                      <a:rPr lang="es-MX" sz="1100" b="0" i="1">
                        <a:latin typeface="Cambria Math" panose="02040503050406030204" pitchFamily="18" charset="0"/>
                      </a:rPr>
                      <m:t>𝐶</m:t>
                    </m:r>
                    <m:d>
                      <m:dPr>
                        <m:begChr m:val="["/>
                        <m:endChr m:val="]"/>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m:t>
                            </m:r>
                            <m:sSup>
                              <m:sSupPr>
                                <m:ctrlPr>
                                  <a:rPr lang="es-MX" sz="1100" b="0" i="1">
                                    <a:latin typeface="Cambria Math" panose="02040503050406030204" pitchFamily="18" charset="0"/>
                                  </a:rPr>
                                </m:ctrlPr>
                              </m:sSupPr>
                              <m:e>
                                <m:d>
                                  <m:dPr>
                                    <m:ctrlPr>
                                      <a:rPr lang="es-MX" sz="1100" b="0" i="1">
                                        <a:latin typeface="Cambria Math" panose="02040503050406030204" pitchFamily="18" charset="0"/>
                                      </a:rPr>
                                    </m:ctrlPr>
                                  </m:dPr>
                                  <m:e>
                                    <m:f>
                                      <m:fPr>
                                        <m:ctrlPr>
                                          <a:rPr lang="es-MX" sz="1100" b="0" i="1">
                                            <a:latin typeface="Cambria Math" panose="02040503050406030204" pitchFamily="18" charset="0"/>
                                          </a:rPr>
                                        </m:ctrlPr>
                                      </m:fPr>
                                      <m:num>
                                        <m:r>
                                          <a:rPr lang="es-MX" sz="1100" b="0" i="1">
                                            <a:latin typeface="Cambria Math" panose="02040503050406030204" pitchFamily="18" charset="0"/>
                                          </a:rPr>
                                          <m:t>1+</m:t>
                                        </m:r>
                                        <m:r>
                                          <a:rPr lang="es-MX" sz="1100" b="0" i="1">
                                            <a:latin typeface="Cambria Math" panose="02040503050406030204" pitchFamily="18" charset="0"/>
                                          </a:rPr>
                                          <m:t>𝑔</m:t>
                                        </m:r>
                                      </m:num>
                                      <m:den>
                                        <m:r>
                                          <a:rPr lang="es-MX" sz="1100" b="0" i="1">
                                            <a:latin typeface="Cambria Math" panose="02040503050406030204" pitchFamily="18" charset="0"/>
                                          </a:rPr>
                                          <m:t>1+</m:t>
                                        </m:r>
                                        <m:r>
                                          <a:rPr lang="es-MX" sz="1100" b="0" i="1">
                                            <a:latin typeface="Cambria Math" panose="02040503050406030204" pitchFamily="18" charset="0"/>
                                          </a:rPr>
                                          <m:t>𝑟</m:t>
                                        </m:r>
                                      </m:den>
                                    </m:f>
                                  </m:e>
                                </m:d>
                              </m:e>
                              <m:sup>
                                <m:r>
                                  <a:rPr lang="es-MX" sz="1100" b="0" i="1">
                                    <a:latin typeface="Cambria Math" panose="02040503050406030204" pitchFamily="18" charset="0"/>
                                  </a:rPr>
                                  <m:t>𝑇</m:t>
                                </m:r>
                              </m:sup>
                            </m:sSup>
                          </m:num>
                          <m:den>
                            <m:r>
                              <a:rPr lang="es-MX" sz="1100" b="0" i="1">
                                <a:latin typeface="Cambria Math" panose="02040503050406030204" pitchFamily="18" charset="0"/>
                              </a:rPr>
                              <m:t>𝑟</m:t>
                            </m:r>
                            <m:r>
                              <a:rPr lang="es-MX" sz="1100" b="0" i="1">
                                <a:latin typeface="Cambria Math" panose="02040503050406030204" pitchFamily="18" charset="0"/>
                              </a:rPr>
                              <m:t>−</m:t>
                            </m:r>
                            <m:r>
                              <a:rPr lang="es-MX" sz="1100" b="0" i="1">
                                <a:latin typeface="Cambria Math" panose="02040503050406030204" pitchFamily="18" charset="0"/>
                              </a:rPr>
                              <m:t>𝑔</m:t>
                            </m:r>
                          </m:den>
                        </m:f>
                      </m:e>
                    </m:d>
                  </m:oMath>
                </m:oMathPara>
              </a14:m>
              <a:endParaRPr lang="es-MX" sz="1100"/>
            </a:p>
          </xdr:txBody>
        </xdr:sp>
      </mc:Choice>
      <mc:Fallback xmlns="">
        <xdr:sp macro="" textlink="">
          <xdr:nvSpPr>
            <xdr:cNvPr id="39" name="CuadroTexto 38">
              <a:extLst>
                <a:ext uri="{FF2B5EF4-FFF2-40B4-BE49-F238E27FC236}">
                  <a16:creationId xmlns:a16="http://schemas.microsoft.com/office/drawing/2014/main" id="{EBE9B09B-DA97-4DA2-B792-EF09EAA1E0AD}"/>
                </a:ext>
              </a:extLst>
            </xdr:cNvPr>
            <xdr:cNvSpPr txBox="1"/>
          </xdr:nvSpPr>
          <xdr:spPr>
            <a:xfrm>
              <a:off x="17468850" y="17716500"/>
              <a:ext cx="2181226" cy="537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𝑉𝑃=𝐶[(1−((1+𝑔)/(1+𝑟))^𝑇)/(𝑟−𝑔)]</a:t>
              </a:r>
              <a:endParaRPr lang="es-MX" sz="1100"/>
            </a:p>
          </xdr:txBody>
        </xdr:sp>
      </mc:Fallback>
    </mc:AlternateContent>
    <xdr:clientData/>
  </xdr:oneCellAnchor>
  <xdr:twoCellAnchor>
    <xdr:from>
      <xdr:col>22</xdr:col>
      <xdr:colOff>742950</xdr:colOff>
      <xdr:row>104</xdr:row>
      <xdr:rowOff>171450</xdr:rowOff>
    </xdr:from>
    <xdr:to>
      <xdr:col>26</xdr:col>
      <xdr:colOff>838200</xdr:colOff>
      <xdr:row>109</xdr:row>
      <xdr:rowOff>38100</xdr:rowOff>
    </xdr:to>
    <xdr:sp macro="" textlink="">
      <xdr:nvSpPr>
        <xdr:cNvPr id="40" name="CuadroTexto 39">
          <a:extLst>
            <a:ext uri="{FF2B5EF4-FFF2-40B4-BE49-F238E27FC236}">
              <a16:creationId xmlns:a16="http://schemas.microsoft.com/office/drawing/2014/main" id="{00000000-0008-0000-0100-000028000000}"/>
            </a:ext>
          </a:extLst>
        </xdr:cNvPr>
        <xdr:cNvSpPr txBox="1"/>
      </xdr:nvSpPr>
      <xdr:spPr>
        <a:xfrm>
          <a:off x="17506950" y="19983450"/>
          <a:ext cx="306705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La</a:t>
          </a:r>
          <a:r>
            <a:rPr lang="es-MX" sz="1100" baseline="0"/>
            <a:t> cantidad de $35,543.64 es la cantidad ya deducida con el 26% de impuestos es de $48,031.95. Entonces, el salario inicial que Ben necesitaría recibir para hacerlo indiferente entre asistir a la Universidad de Wilton y mantenerse en su posición actual de $48,031.95</a:t>
          </a:r>
        </a:p>
        <a:p>
          <a:endParaRPr lang="es-MX" sz="1100" baseline="0"/>
        </a:p>
      </xdr:txBody>
    </xdr:sp>
    <xdr:clientData/>
  </xdr:twoCellAnchor>
  <xdr:oneCellAnchor>
    <xdr:from>
      <xdr:col>23</xdr:col>
      <xdr:colOff>209550</xdr:colOff>
      <xdr:row>111</xdr:row>
      <xdr:rowOff>14287</xdr:rowOff>
    </xdr:from>
    <xdr:ext cx="2666307" cy="172227"/>
    <mc:AlternateContent xmlns:mc="http://schemas.openxmlformats.org/markup-compatibility/2006" xmlns:a14="http://schemas.microsoft.com/office/drawing/2010/main">
      <mc:Choice Requires="a14">
        <xdr:sp macro="" textlink="">
          <xdr:nvSpPr>
            <xdr:cNvPr id="41" name="CuadroTexto 40">
              <a:extLst>
                <a:ext uri="{FF2B5EF4-FFF2-40B4-BE49-F238E27FC236}">
                  <a16:creationId xmlns:a16="http://schemas.microsoft.com/office/drawing/2014/main" id="{00000000-0008-0000-0100-000029000000}"/>
                </a:ext>
              </a:extLst>
            </xdr:cNvPr>
            <xdr:cNvSpPr txBox="1"/>
          </xdr:nvSpPr>
          <xdr:spPr>
            <a:xfrm>
              <a:off x="17735550" y="21159787"/>
              <a:ext cx="26663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𝑪𝒂𝒔𝒐</m:t>
                    </m:r>
                    <m:r>
                      <a:rPr lang="es-MX" sz="1100" b="1" i="1">
                        <a:latin typeface="Cambria Math" panose="02040503050406030204" pitchFamily="18" charset="0"/>
                      </a:rPr>
                      <m:t> </m:t>
                    </m:r>
                    <m:r>
                      <a:rPr lang="es-MX" sz="1100" b="1" i="1">
                        <a:latin typeface="Cambria Math" panose="02040503050406030204" pitchFamily="18" charset="0"/>
                      </a:rPr>
                      <m:t>𝟏</m:t>
                    </m:r>
                    <m:r>
                      <a:rPr lang="es-MX" sz="1100" b="1" i="1">
                        <a:latin typeface="Cambria Math" panose="02040503050406030204" pitchFamily="18" charset="0"/>
                      </a:rPr>
                      <m:t>. </m:t>
                    </m:r>
                    <m:r>
                      <a:rPr lang="es-MX" sz="1100" b="0" i="1">
                        <a:latin typeface="Cambria Math" panose="02040503050406030204" pitchFamily="18" charset="0"/>
                      </a:rPr>
                      <m:t>𝑀𝐵𝐴</m:t>
                    </m:r>
                    <m:r>
                      <a:rPr lang="es-MX" sz="1100" b="0" i="1">
                        <a:latin typeface="Cambria Math" panose="02040503050406030204" pitchFamily="18" charset="0"/>
                      </a:rPr>
                      <m:t> </m:t>
                    </m:r>
                    <m:r>
                      <a:rPr lang="es-MX" sz="1100" b="0" i="1">
                        <a:latin typeface="Cambria Math" panose="02040503050406030204" pitchFamily="18" charset="0"/>
                      </a:rPr>
                      <m:t>𝑒𝑛</m:t>
                    </m:r>
                    <m:r>
                      <a:rPr lang="es-MX" sz="1100" b="0" i="1">
                        <a:latin typeface="Cambria Math" panose="02040503050406030204" pitchFamily="18" charset="0"/>
                      </a:rPr>
                      <m:t> </m:t>
                    </m:r>
                    <m:r>
                      <a:rPr lang="es-MX" sz="1100" b="0" i="1">
                        <a:latin typeface="Cambria Math" panose="02040503050406030204" pitchFamily="18" charset="0"/>
                      </a:rPr>
                      <m:t>𝑙𝑎</m:t>
                    </m:r>
                    <m:r>
                      <a:rPr lang="es-MX" sz="1100" b="0" i="1">
                        <a:latin typeface="Cambria Math" panose="02040503050406030204" pitchFamily="18" charset="0"/>
                      </a:rPr>
                      <m:t> </m:t>
                    </m:r>
                    <m:r>
                      <a:rPr lang="es-MX" sz="1100" b="0" i="1">
                        <a:latin typeface="Cambria Math" panose="02040503050406030204" pitchFamily="18" charset="0"/>
                      </a:rPr>
                      <m:t>𝑢𝑛𝑖𝑣𝑒𝑟𝑠𝑖𝑑𝑎𝑑</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𝑊𝑖𝑙𝑡𝑜𝑛</m:t>
                    </m:r>
                    <m:r>
                      <a:rPr lang="es-MX" sz="1100" b="0" i="1">
                        <a:latin typeface="Cambria Math" panose="02040503050406030204" pitchFamily="18" charset="0"/>
                      </a:rPr>
                      <m:t> </m:t>
                    </m:r>
                  </m:oMath>
                </m:oMathPara>
              </a14:m>
              <a:endParaRPr lang="es-MX" sz="1100"/>
            </a:p>
          </xdr:txBody>
        </xdr:sp>
      </mc:Choice>
      <mc:Fallback xmlns="">
        <xdr:sp macro="" textlink="">
          <xdr:nvSpPr>
            <xdr:cNvPr id="41" name="CuadroTexto 40">
              <a:extLst>
                <a:ext uri="{FF2B5EF4-FFF2-40B4-BE49-F238E27FC236}">
                  <a16:creationId xmlns:a16="http://schemas.microsoft.com/office/drawing/2014/main" id="{661C5570-402C-4272-84D5-5072C87DED06}"/>
                </a:ext>
              </a:extLst>
            </xdr:cNvPr>
            <xdr:cNvSpPr txBox="1"/>
          </xdr:nvSpPr>
          <xdr:spPr>
            <a:xfrm>
              <a:off x="17735550" y="21159787"/>
              <a:ext cx="26663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𝑪𝒂𝒔𝒐 𝟏. </a:t>
              </a:r>
              <a:r>
                <a:rPr lang="es-MX" sz="1100" b="0" i="0">
                  <a:latin typeface="Cambria Math" panose="02040503050406030204" pitchFamily="18" charset="0"/>
                </a:rPr>
                <a:t>𝑀𝐵𝐴 𝑒𝑛 𝑙𝑎 𝑢𝑛𝑖𝑣𝑒𝑟𝑠𝑖𝑑𝑎𝑑 𝑑𝑒 𝑊𝑖𝑙𝑡𝑜𝑛 </a:t>
              </a:r>
              <a:endParaRPr lang="es-MX" sz="1100"/>
            </a:p>
          </xdr:txBody>
        </xdr:sp>
      </mc:Fallback>
    </mc:AlternateContent>
    <xdr:clientData/>
  </xdr:oneCellAnchor>
  <xdr:oneCellAnchor>
    <xdr:from>
      <xdr:col>23</xdr:col>
      <xdr:colOff>209550</xdr:colOff>
      <xdr:row>111</xdr:row>
      <xdr:rowOff>176212</xdr:rowOff>
    </xdr:from>
    <xdr:ext cx="5736892" cy="172227"/>
    <mc:AlternateContent xmlns:mc="http://schemas.openxmlformats.org/markup-compatibility/2006" xmlns:a14="http://schemas.microsoft.com/office/drawing/2010/main">
      <mc:Choice Requires="a14">
        <xdr:sp macro="" textlink="">
          <xdr:nvSpPr>
            <xdr:cNvPr id="42" name="CuadroTexto 41">
              <a:extLst>
                <a:ext uri="{FF2B5EF4-FFF2-40B4-BE49-F238E27FC236}">
                  <a16:creationId xmlns:a16="http://schemas.microsoft.com/office/drawing/2014/main" id="{00000000-0008-0000-0100-00002A000000}"/>
                </a:ext>
              </a:extLst>
            </xdr:cNvPr>
            <xdr:cNvSpPr txBox="1"/>
          </xdr:nvSpPr>
          <xdr:spPr>
            <a:xfrm>
              <a:off x="17735550" y="21321712"/>
              <a:ext cx="573689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𝐸𝑛</m:t>
                    </m:r>
                    <m:r>
                      <a:rPr lang="es-MX" sz="1100" b="0" i="1">
                        <a:latin typeface="Cambria Math" panose="02040503050406030204" pitchFamily="18" charset="0"/>
                      </a:rPr>
                      <m:t> </m:t>
                    </m:r>
                    <m:r>
                      <a:rPr lang="es-MX" sz="1100" b="0" i="1">
                        <a:latin typeface="Cambria Math" panose="02040503050406030204" pitchFamily="18" charset="0"/>
                      </a:rPr>
                      <m:t>𝑒𝑠𝑡𝑒</m:t>
                    </m:r>
                    <m:r>
                      <a:rPr lang="es-MX" sz="1100" b="0" i="1">
                        <a:latin typeface="Cambria Math" panose="02040503050406030204" pitchFamily="18" charset="0"/>
                      </a:rPr>
                      <m:t> </m:t>
                    </m:r>
                    <m:r>
                      <a:rPr lang="es-MX" sz="1100" b="0" i="1">
                        <a:latin typeface="Cambria Math" panose="02040503050406030204" pitchFamily="18" charset="0"/>
                      </a:rPr>
                      <m:t>𝑐𝑎𝑠𝑜</m:t>
                    </m:r>
                    <m:r>
                      <a:rPr lang="es-MX" sz="1100" b="0" i="1">
                        <a:latin typeface="Cambria Math" panose="02040503050406030204" pitchFamily="18" charset="0"/>
                      </a:rPr>
                      <m:t> </m:t>
                    </m:r>
                    <m:r>
                      <a:rPr lang="es-MX" sz="1100" b="0" i="1">
                        <a:latin typeface="Cambria Math" panose="02040503050406030204" pitchFamily="18" charset="0"/>
                      </a:rPr>
                      <m:t>𝐵𝑒𝑛</m:t>
                    </m:r>
                    <m:r>
                      <a:rPr lang="es-MX" sz="1100" b="0" i="1">
                        <a:latin typeface="Cambria Math" panose="02040503050406030204" pitchFamily="18" charset="0"/>
                      </a:rPr>
                      <m:t> </m:t>
                    </m:r>
                    <m:r>
                      <a:rPr lang="es-MX" sz="1100" b="0" i="1">
                        <a:latin typeface="Cambria Math" panose="02040503050406030204" pitchFamily="18" charset="0"/>
                      </a:rPr>
                      <m:t>𝑑𝑒𝑏𝑒</m:t>
                    </m:r>
                    <m:r>
                      <a:rPr lang="es-MX" sz="1100" b="0" i="1">
                        <a:latin typeface="Cambria Math" panose="02040503050406030204" pitchFamily="18" charset="0"/>
                      </a:rPr>
                      <m:t> </m:t>
                    </m:r>
                    <m:r>
                      <a:rPr lang="es-MX" sz="1100" b="0" i="1">
                        <a:latin typeface="Cambria Math" panose="02040503050406030204" pitchFamily="18" charset="0"/>
                      </a:rPr>
                      <m:t>𝑝𝑒𝑑𝑖𝑟</m:t>
                    </m:r>
                    <m:r>
                      <a:rPr lang="es-MX" sz="1100" b="0" i="1">
                        <a:latin typeface="Cambria Math" panose="02040503050406030204" pitchFamily="18" charset="0"/>
                      </a:rPr>
                      <m:t> </m:t>
                    </m:r>
                    <m:r>
                      <a:rPr lang="es-MX" sz="1100" b="0" i="1">
                        <a:latin typeface="Cambria Math" panose="02040503050406030204" pitchFamily="18" charset="0"/>
                      </a:rPr>
                      <m:t>𝑝𝑟𝑒𝑠𝑡𝑎𝑑𝑜</m:t>
                    </m:r>
                    <m:r>
                      <a:rPr lang="es-MX" sz="1100" b="0" i="1">
                        <a:latin typeface="Cambria Math" panose="02040503050406030204" pitchFamily="18" charset="0"/>
                      </a:rPr>
                      <m:t> $146,000. </m:t>
                    </m:r>
                    <m:r>
                      <a:rPr lang="es-MX" sz="1100" b="0" i="1">
                        <a:latin typeface="Cambria Math" panose="02040503050406030204" pitchFamily="18" charset="0"/>
                      </a:rPr>
                      <m:t>𝐿𝑎</m:t>
                    </m:r>
                    <m:r>
                      <a:rPr lang="es-MX" sz="1100" b="0" i="1">
                        <a:latin typeface="Cambria Math" panose="02040503050406030204" pitchFamily="18" charset="0"/>
                      </a:rPr>
                      <m:t> </m:t>
                    </m:r>
                    <m:r>
                      <a:rPr lang="es-MX" sz="1100" b="0" i="1">
                        <a:latin typeface="Cambria Math" panose="02040503050406030204" pitchFamily="18" charset="0"/>
                      </a:rPr>
                      <m:t>𝑡𝑎𝑠𝑎</m:t>
                    </m:r>
                    <m:r>
                      <a:rPr lang="es-MX" sz="1100" b="0" i="1">
                        <a:latin typeface="Cambria Math" panose="02040503050406030204" pitchFamily="18" charset="0"/>
                      </a:rPr>
                      <m:t> </m:t>
                    </m:r>
                    <m:r>
                      <a:rPr lang="es-MX" sz="1100" b="0" i="1">
                        <a:latin typeface="Cambria Math" panose="02040503050406030204" pitchFamily="18" charset="0"/>
                      </a:rPr>
                      <m:t>𝑎𝑐𝑡𝑢𝑎𝑙</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𝑒𝑛𝑑𝑒𝑢𝑑𝑎𝑚𝑖𝑒𝑛𝑡𝑜</m:t>
                    </m:r>
                    <m:r>
                      <a:rPr lang="es-MX" sz="1100" b="0" i="1">
                        <a:latin typeface="Cambria Math" panose="02040503050406030204" pitchFamily="18" charset="0"/>
                      </a:rPr>
                      <m:t> </m:t>
                    </m:r>
                    <m:r>
                      <a:rPr lang="es-MX" sz="1100" b="0" i="1">
                        <a:latin typeface="Cambria Math" panose="02040503050406030204" pitchFamily="18" charset="0"/>
                      </a:rPr>
                      <m:t>𝑒𝑠</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5%</m:t>
                    </m:r>
                  </m:oMath>
                </m:oMathPara>
              </a14:m>
              <a:endParaRPr lang="es-MX" sz="1100"/>
            </a:p>
          </xdr:txBody>
        </xdr:sp>
      </mc:Choice>
      <mc:Fallback xmlns="">
        <xdr:sp macro="" textlink="">
          <xdr:nvSpPr>
            <xdr:cNvPr id="42" name="CuadroTexto 41">
              <a:extLst>
                <a:ext uri="{FF2B5EF4-FFF2-40B4-BE49-F238E27FC236}">
                  <a16:creationId xmlns:a16="http://schemas.microsoft.com/office/drawing/2014/main" id="{35A96D0F-C51F-4E53-BC52-2D484D8E8EDA}"/>
                </a:ext>
              </a:extLst>
            </xdr:cNvPr>
            <xdr:cNvSpPr txBox="1"/>
          </xdr:nvSpPr>
          <xdr:spPr>
            <a:xfrm>
              <a:off x="17735550" y="21321712"/>
              <a:ext cx="573689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𝐸𝑛 𝑒𝑠𝑡𝑒 𝑐𝑎𝑠𝑜 𝐵𝑒𝑛 𝑑𝑒𝑏𝑒 𝑝𝑒𝑑𝑖𝑟 𝑝𝑟𝑒𝑠𝑡𝑎𝑑𝑜 $146,000. 𝐿𝑎 𝑡𝑎𝑠𝑎 𝑎𝑐𝑡𝑢𝑎𝑙 𝑑𝑒 𝑒𝑛𝑑𝑒𝑢𝑑𝑎𝑚𝑖𝑒𝑛𝑡𝑜 𝑒𝑠 𝑑𝑒 5%</a:t>
              </a:r>
              <a:endParaRPr lang="es-MX" sz="1100"/>
            </a:p>
          </xdr:txBody>
        </xdr:sp>
      </mc:Fallback>
    </mc:AlternateContent>
    <xdr:clientData/>
  </xdr:oneCellAnchor>
  <xdr:twoCellAnchor>
    <xdr:from>
      <xdr:col>22</xdr:col>
      <xdr:colOff>723899</xdr:colOff>
      <xdr:row>198</xdr:row>
      <xdr:rowOff>161926</xdr:rowOff>
    </xdr:from>
    <xdr:to>
      <xdr:col>31</xdr:col>
      <xdr:colOff>28575</xdr:colOff>
      <xdr:row>204</xdr:row>
      <xdr:rowOff>66676</xdr:rowOff>
    </xdr:to>
    <xdr:sp macro="" textlink="">
      <xdr:nvSpPr>
        <xdr:cNvPr id="43" name="CuadroTexto 42">
          <a:extLst>
            <a:ext uri="{FF2B5EF4-FFF2-40B4-BE49-F238E27FC236}">
              <a16:creationId xmlns:a16="http://schemas.microsoft.com/office/drawing/2014/main" id="{00000000-0008-0000-0100-00002B000000}"/>
            </a:ext>
          </a:extLst>
        </xdr:cNvPr>
        <xdr:cNvSpPr txBox="1"/>
      </xdr:nvSpPr>
      <xdr:spPr>
        <a:xfrm>
          <a:off x="17487899" y="37880926"/>
          <a:ext cx="6162676" cy="104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De la primera opcion de Ben de obtener el MBA en la Universidad de Wilton, el pago total después</a:t>
          </a:r>
          <a:r>
            <a:rPr lang="es-MX" sz="1100" baseline="0"/>
            <a:t> de realizar la tabla de amortización es de $170,461.42. De la segunda opción de obtener el MBA de Mount Perry College, el pago total es de $104,506.75 es igual al valor presente $434,296.55.</a:t>
          </a:r>
        </a:p>
        <a:p>
          <a:r>
            <a:rPr lang="es-MX" sz="1100" baseline="0"/>
            <a:t>Esto afectará su decisión de continuar estudiando. Desde el punto de vista estrictamente financiero, si Ben debe pedir prestado el dinero con la tasa actual de 5.4%, todavía puede continuar el estudio en la Universidad de Wilton. </a:t>
          </a:r>
          <a:endParaRPr lang="es-MX" sz="1100"/>
        </a:p>
      </xdr:txBody>
    </xdr:sp>
    <xdr:clientData/>
  </xdr:twoCellAnchor>
  <xdr:oneCellAnchor>
    <xdr:from>
      <xdr:col>16</xdr:col>
      <xdr:colOff>28575</xdr:colOff>
      <xdr:row>134</xdr:row>
      <xdr:rowOff>23813</xdr:rowOff>
    </xdr:from>
    <xdr:ext cx="3142399" cy="185738"/>
    <mc:AlternateContent xmlns:mc="http://schemas.openxmlformats.org/markup-compatibility/2006" xmlns:a14="http://schemas.microsoft.com/office/drawing/2010/main">
      <mc:Choice Requires="a14">
        <xdr:sp macro="" textlink="">
          <xdr:nvSpPr>
            <xdr:cNvPr id="44" name="CuadroTexto 43">
              <a:extLst>
                <a:ext uri="{FF2B5EF4-FFF2-40B4-BE49-F238E27FC236}">
                  <a16:creationId xmlns:a16="http://schemas.microsoft.com/office/drawing/2014/main" id="{00000000-0008-0000-0100-00002C000000}"/>
                </a:ext>
              </a:extLst>
            </xdr:cNvPr>
            <xdr:cNvSpPr txBox="1"/>
          </xdr:nvSpPr>
          <xdr:spPr>
            <a:xfrm>
              <a:off x="12220575" y="25550813"/>
              <a:ext cx="3142399" cy="185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𝑽𝒂𝒍𝒐𝒓</m:t>
                    </m:r>
                    <m:r>
                      <a:rPr lang="es-MX" sz="1100" b="1" i="1">
                        <a:latin typeface="Cambria Math" panose="02040503050406030204" pitchFamily="18" charset="0"/>
                      </a:rPr>
                      <m:t> </m:t>
                    </m:r>
                    <m:r>
                      <a:rPr lang="es-MX" sz="1100" b="1" i="1">
                        <a:latin typeface="Cambria Math" panose="02040503050406030204" pitchFamily="18" charset="0"/>
                      </a:rPr>
                      <m:t>𝒑𝒓𝒆𝒔𝒆𝒏𝒕𝒆</m:t>
                    </m:r>
                    <m:r>
                      <a:rPr lang="es-MX" sz="1100" b="1" i="1">
                        <a:latin typeface="Cambria Math" panose="02040503050406030204" pitchFamily="18" charset="0"/>
                      </a:rPr>
                      <m:t> </m:t>
                    </m:r>
                    <m:r>
                      <a:rPr lang="es-MX" sz="1100" b="1" i="1">
                        <a:latin typeface="Cambria Math" panose="02040503050406030204" pitchFamily="18" charset="0"/>
                      </a:rPr>
                      <m:t>𝒅𝒆</m:t>
                    </m:r>
                    <m:r>
                      <a:rPr lang="es-MX" sz="1100" b="1" i="1">
                        <a:latin typeface="Cambria Math" panose="02040503050406030204" pitchFamily="18" charset="0"/>
                      </a:rPr>
                      <m:t> </m:t>
                    </m:r>
                    <m:r>
                      <a:rPr lang="es-MX" sz="1100" b="1" i="1">
                        <a:latin typeface="Cambria Math" panose="02040503050406030204" pitchFamily="18" charset="0"/>
                      </a:rPr>
                      <m:t>𝒖𝒏𝒂</m:t>
                    </m:r>
                    <m:r>
                      <a:rPr lang="es-MX" sz="1100" b="1" i="1">
                        <a:latin typeface="Cambria Math" panose="02040503050406030204" pitchFamily="18" charset="0"/>
                      </a:rPr>
                      <m:t> </m:t>
                    </m:r>
                    <m:r>
                      <a:rPr lang="es-MX" sz="1100" b="1" i="1">
                        <a:latin typeface="Cambria Math" panose="02040503050406030204" pitchFamily="18" charset="0"/>
                      </a:rPr>
                      <m:t>𝒑𝒆𝒓𝒑𝒆𝒕𝒖𝒊𝒅𝒂𝒅</m:t>
                    </m:r>
                    <m:r>
                      <a:rPr lang="es-MX" sz="1100" b="1" i="1">
                        <a:latin typeface="Cambria Math" panose="02040503050406030204" pitchFamily="18" charset="0"/>
                      </a:rPr>
                      <m:t> </m:t>
                    </m:r>
                    <m:r>
                      <a:rPr lang="es-MX" sz="1100" b="1" i="1">
                        <a:latin typeface="Cambria Math" panose="02040503050406030204" pitchFamily="18" charset="0"/>
                      </a:rPr>
                      <m:t>𝒄𝒓𝒆𝒄𝒊𝒆𝒏𝒕𝒆</m:t>
                    </m:r>
                  </m:oMath>
                </m:oMathPara>
              </a14:m>
              <a:endParaRPr lang="es-MX" sz="1100"/>
            </a:p>
          </xdr:txBody>
        </xdr:sp>
      </mc:Choice>
      <mc:Fallback xmlns="">
        <xdr:sp macro="" textlink="">
          <xdr:nvSpPr>
            <xdr:cNvPr id="44" name="CuadroTexto 43">
              <a:extLst>
                <a:ext uri="{FF2B5EF4-FFF2-40B4-BE49-F238E27FC236}">
                  <a16:creationId xmlns:a16="http://schemas.microsoft.com/office/drawing/2014/main" id="{A7D07353-94CA-4B43-A8B1-AF4865D6D1EC}"/>
                </a:ext>
              </a:extLst>
            </xdr:cNvPr>
            <xdr:cNvSpPr txBox="1"/>
          </xdr:nvSpPr>
          <xdr:spPr>
            <a:xfrm>
              <a:off x="12220575" y="25550813"/>
              <a:ext cx="3142399" cy="1857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s-MX" sz="1100" b="1" i="0">
                  <a:latin typeface="Cambria Math" panose="02040503050406030204" pitchFamily="18" charset="0"/>
                </a:rPr>
                <a:t>𝑽𝒂𝒍𝒐𝒓 𝒑𝒓𝒆𝒔𝒆𝒏𝒕𝒆 𝒅𝒆 𝒖𝒏𝒂 𝒑𝒆𝒓𝒑𝒆𝒕𝒖𝒊𝒅𝒂𝒅 𝒄𝒓𝒆𝒄𝒊𝒆𝒏𝒕𝒆</a:t>
              </a:r>
              <a:endParaRPr lang="es-MX" sz="1100"/>
            </a:p>
          </xdr:txBody>
        </xdr:sp>
      </mc:Fallback>
    </mc:AlternateContent>
    <xdr:clientData/>
  </xdr:oneCellAnchor>
  <xdr:oneCellAnchor>
    <xdr:from>
      <xdr:col>16</xdr:col>
      <xdr:colOff>28575</xdr:colOff>
      <xdr:row>135</xdr:row>
      <xdr:rowOff>61912</xdr:rowOff>
    </xdr:from>
    <xdr:ext cx="1421735" cy="352469"/>
    <mc:AlternateContent xmlns:mc="http://schemas.openxmlformats.org/markup-compatibility/2006" xmlns:a14="http://schemas.microsoft.com/office/drawing/2010/main">
      <mc:Choice Requires="a14">
        <xdr:sp macro="" textlink="">
          <xdr:nvSpPr>
            <xdr:cNvPr id="45" name="CuadroTexto 44">
              <a:extLst>
                <a:ext uri="{FF2B5EF4-FFF2-40B4-BE49-F238E27FC236}">
                  <a16:creationId xmlns:a16="http://schemas.microsoft.com/office/drawing/2014/main" id="{00000000-0008-0000-0100-00002D000000}"/>
                </a:ext>
              </a:extLst>
            </xdr:cNvPr>
            <xdr:cNvSpPr txBox="1"/>
          </xdr:nvSpPr>
          <xdr:spPr>
            <a:xfrm>
              <a:off x="12220575" y="25779412"/>
              <a:ext cx="1421735" cy="3524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𝑉𝑃</m:t>
                    </m:r>
                    <m:r>
                      <a:rPr lang="es-MX" sz="1100" b="0" i="1">
                        <a:latin typeface="Cambria Math" panose="02040503050406030204" pitchFamily="18" charset="0"/>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𝐶</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den>
                    </m:f>
                    <m:r>
                      <a:rPr lang="es-MX" sz="1100" b="0" i="1">
                        <a:solidFill>
                          <a:schemeClr val="tx1"/>
                        </a:solidFill>
                        <a:effectLst/>
                        <a:latin typeface="Cambria Math" panose="02040503050406030204" pitchFamily="18" charset="0"/>
                        <a:ea typeface="+mn-ea"/>
                        <a:cs typeface="+mn-cs"/>
                      </a:rPr>
                      <m:t>+</m:t>
                    </m:r>
                    <m:f>
                      <m:fPr>
                        <m:ctrlPr>
                          <a:rPr lang="es-MX" sz="1100" b="0" i="1">
                            <a:latin typeface="Cambria Math" panose="02040503050406030204" pitchFamily="18" charset="0"/>
                          </a:rPr>
                        </m:ctrlPr>
                      </m:fPr>
                      <m:num>
                        <m:r>
                          <a:rPr lang="es-MX" sz="1100" b="0" i="1">
                            <a:latin typeface="Cambria Math" panose="02040503050406030204" pitchFamily="18" charset="0"/>
                          </a:rPr>
                          <m:t>𝐶</m:t>
                        </m:r>
                        <m:r>
                          <a:rPr lang="es-MX" sz="1100" b="0" i="1">
                            <a:latin typeface="Cambria Math" panose="02040503050406030204" pitchFamily="18" charset="0"/>
                          </a:rPr>
                          <m:t>(1+</m:t>
                        </m:r>
                        <m:r>
                          <a:rPr lang="es-MX" sz="1100" b="0" i="1">
                            <a:latin typeface="Cambria Math" panose="02040503050406030204" pitchFamily="18" charset="0"/>
                          </a:rPr>
                          <m:t>𝑔</m:t>
                        </m:r>
                        <m:r>
                          <a:rPr lang="es-MX" sz="1100" b="0" i="1">
                            <a:latin typeface="Cambria Math" panose="02040503050406030204" pitchFamily="18" charset="0"/>
                          </a:rPr>
                          <m:t>)</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r>
                          <a:rPr lang="es-MX" sz="1100" b="0" i="1">
                            <a:solidFill>
                              <a:schemeClr val="tx1"/>
                            </a:solidFill>
                            <a:effectLst/>
                            <a:latin typeface="Cambria Math" panose="02040503050406030204" pitchFamily="18" charset="0"/>
                            <a:ea typeface="+mn-ea"/>
                            <a:cs typeface="+mn-cs"/>
                          </a:rPr>
                          <m:t>)</m:t>
                        </m:r>
                      </m:den>
                    </m:f>
                  </m:oMath>
                </m:oMathPara>
              </a14:m>
              <a:endParaRPr lang="es-MX" sz="1100" i="0"/>
            </a:p>
          </xdr:txBody>
        </xdr:sp>
      </mc:Choice>
      <mc:Fallback xmlns="">
        <xdr:sp macro="" textlink="">
          <xdr:nvSpPr>
            <xdr:cNvPr id="45" name="CuadroTexto 44">
              <a:extLst>
                <a:ext uri="{FF2B5EF4-FFF2-40B4-BE49-F238E27FC236}">
                  <a16:creationId xmlns:a16="http://schemas.microsoft.com/office/drawing/2014/main" id="{C7040A35-C37A-47D6-89EB-4C2DB43C3146}"/>
                </a:ext>
              </a:extLst>
            </xdr:cNvPr>
            <xdr:cNvSpPr txBox="1"/>
          </xdr:nvSpPr>
          <xdr:spPr>
            <a:xfrm>
              <a:off x="12220575" y="25779412"/>
              <a:ext cx="1421735" cy="3524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𝑉𝑃=</a:t>
              </a:r>
              <a:r>
                <a:rPr lang="es-MX" sz="1100" b="0" i="0">
                  <a:solidFill>
                    <a:schemeClr val="tx1"/>
                  </a:solidFill>
                  <a:effectLst/>
                  <a:latin typeface="Cambria Math" panose="02040503050406030204" pitchFamily="18" charset="0"/>
                  <a:ea typeface="+mn-ea"/>
                  <a:cs typeface="+mn-cs"/>
                </a:rPr>
                <a:t>𝐶/(1+𝑟)+</a:t>
              </a:r>
              <a:r>
                <a:rPr lang="es-MX" sz="1100" b="0" i="0">
                  <a:latin typeface="Cambria Math" panose="02040503050406030204" pitchFamily="18" charset="0"/>
                </a:rPr>
                <a:t>(𝐶(1+𝑔))/(</a:t>
              </a:r>
              <a:r>
                <a:rPr lang="es-MX" sz="1100" b="0" i="0">
                  <a:solidFill>
                    <a:schemeClr val="tx1"/>
                  </a:solidFill>
                  <a:effectLst/>
                  <a:latin typeface="Cambria Math" panose="02040503050406030204" pitchFamily="18" charset="0"/>
                  <a:ea typeface="+mn-ea"/>
                  <a:cs typeface="+mn-cs"/>
                </a:rPr>
                <a:t>(1+𝑟))</a:t>
              </a:r>
              <a:endParaRPr lang="es-MX" sz="1100" i="0"/>
            </a:p>
          </xdr:txBody>
        </xdr:sp>
      </mc:Fallback>
    </mc:AlternateContent>
    <xdr:clientData/>
  </xdr:oneCellAnchor>
  <xdr:oneCellAnchor>
    <xdr:from>
      <xdr:col>16</xdr:col>
      <xdr:colOff>9525</xdr:colOff>
      <xdr:row>133</xdr:row>
      <xdr:rowOff>33337</xdr:rowOff>
    </xdr:from>
    <xdr:ext cx="3213187" cy="172227"/>
    <mc:AlternateContent xmlns:mc="http://schemas.openxmlformats.org/markup-compatibility/2006" xmlns:a14="http://schemas.microsoft.com/office/drawing/2010/main">
      <mc:Choice Requires="a14">
        <xdr:sp macro="" textlink="">
          <xdr:nvSpPr>
            <xdr:cNvPr id="46" name="CuadroTexto 45">
              <a:extLst>
                <a:ext uri="{FF2B5EF4-FFF2-40B4-BE49-F238E27FC236}">
                  <a16:creationId xmlns:a16="http://schemas.microsoft.com/office/drawing/2014/main" id="{00000000-0008-0000-0100-00002E000000}"/>
                </a:ext>
              </a:extLst>
            </xdr:cNvPr>
            <xdr:cNvSpPr txBox="1"/>
          </xdr:nvSpPr>
          <xdr:spPr>
            <a:xfrm>
              <a:off x="12201525" y="25369837"/>
              <a:ext cx="321318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𝑽𝒂𝒍𝒐𝒓</m:t>
                    </m:r>
                    <m:r>
                      <a:rPr lang="es-MX" sz="1100" b="1" i="1">
                        <a:latin typeface="Cambria Math" panose="02040503050406030204" pitchFamily="18" charset="0"/>
                      </a:rPr>
                      <m:t> </m:t>
                    </m:r>
                    <m:r>
                      <a:rPr lang="es-MX" sz="1100" b="1" i="1">
                        <a:latin typeface="Cambria Math" panose="02040503050406030204" pitchFamily="18" charset="0"/>
                      </a:rPr>
                      <m:t>𝒑𝒓𝒆𝒔𝒆𝒏𝒕𝒆</m:t>
                    </m:r>
                    <m:r>
                      <a:rPr lang="es-MX" sz="1100" b="1" i="1">
                        <a:latin typeface="Cambria Math" panose="02040503050406030204" pitchFamily="18" charset="0"/>
                      </a:rPr>
                      <m:t> </m:t>
                    </m:r>
                    <m:r>
                      <a:rPr lang="es-MX" sz="1100" b="1" i="1">
                        <a:latin typeface="Cambria Math" panose="02040503050406030204" pitchFamily="18" charset="0"/>
                      </a:rPr>
                      <m:t>𝒅𝒆</m:t>
                    </m:r>
                    <m:r>
                      <a:rPr lang="es-MX" sz="1100" b="1" i="1">
                        <a:latin typeface="Cambria Math" panose="02040503050406030204" pitchFamily="18" charset="0"/>
                      </a:rPr>
                      <m:t> </m:t>
                    </m:r>
                    <m:r>
                      <a:rPr lang="es-MX" sz="1100" b="1" i="1">
                        <a:latin typeface="Cambria Math" panose="02040503050406030204" pitchFamily="18" charset="0"/>
                      </a:rPr>
                      <m:t>𝒄𝒐𝒔𝒕𝒐𝒔</m:t>
                    </m:r>
                    <m:r>
                      <a:rPr lang="es-MX" sz="1100" b="1" i="1">
                        <a:latin typeface="Cambria Math" panose="02040503050406030204" pitchFamily="18" charset="0"/>
                      </a:rPr>
                      <m:t> </m:t>
                    </m:r>
                    <m:r>
                      <a:rPr lang="es-MX" sz="1100" b="1" i="1">
                        <a:latin typeface="Cambria Math" panose="02040503050406030204" pitchFamily="18" charset="0"/>
                      </a:rPr>
                      <m:t>𝒊𝒏𝒅𝒊𝒓𝒆𝒄𝒕𝒐𝒔</m:t>
                    </m:r>
                    <m:r>
                      <a:rPr lang="es-MX" sz="1100" b="1" i="1">
                        <a:latin typeface="Cambria Math" panose="02040503050406030204" pitchFamily="18" charset="0"/>
                      </a:rPr>
                      <m:t> (</m:t>
                    </m:r>
                    <m:r>
                      <a:rPr lang="es-MX" sz="1100" b="1" i="1">
                        <a:latin typeface="Cambria Math" panose="02040503050406030204" pitchFamily="18" charset="0"/>
                      </a:rPr>
                      <m:t>𝒔𝒂𝒍𝒂𝒓𝒊𝒐𝒔</m:t>
                    </m:r>
                    <m:r>
                      <a:rPr lang="es-MX" sz="1100" b="1" i="1">
                        <a:latin typeface="Cambria Math" panose="02040503050406030204" pitchFamily="18" charset="0"/>
                      </a:rPr>
                      <m:t>)</m:t>
                    </m:r>
                  </m:oMath>
                </m:oMathPara>
              </a14:m>
              <a:endParaRPr lang="es-MX" sz="1100" b="1"/>
            </a:p>
          </xdr:txBody>
        </xdr:sp>
      </mc:Choice>
      <mc:Fallback xmlns="">
        <xdr:sp macro="" textlink="">
          <xdr:nvSpPr>
            <xdr:cNvPr id="46" name="CuadroTexto 45">
              <a:extLst>
                <a:ext uri="{FF2B5EF4-FFF2-40B4-BE49-F238E27FC236}">
                  <a16:creationId xmlns:a16="http://schemas.microsoft.com/office/drawing/2014/main" id="{4E8261A1-212F-489C-A9AD-3A8ACFB470F9}"/>
                </a:ext>
              </a:extLst>
            </xdr:cNvPr>
            <xdr:cNvSpPr txBox="1"/>
          </xdr:nvSpPr>
          <xdr:spPr>
            <a:xfrm>
              <a:off x="12201525" y="25369837"/>
              <a:ext cx="321318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𝑽𝒂𝒍𝒐𝒓 𝒑𝒓𝒆𝒔𝒆𝒏𝒕𝒆 𝒅𝒆 𝒄𝒐𝒔𝒕𝒐𝒔 𝒊𝒏𝒅𝒊𝒓𝒆𝒄𝒕𝒐𝒔 (𝒔𝒂𝒍𝒂𝒓𝒊𝒐𝒔)</a:t>
              </a:r>
              <a:endParaRPr lang="es-MX" sz="1100" b="1"/>
            </a:p>
          </xdr:txBody>
        </xdr:sp>
      </mc:Fallback>
    </mc:AlternateContent>
    <xdr:clientData/>
  </xdr:oneCellAnchor>
  <xdr:twoCellAnchor>
    <xdr:from>
      <xdr:col>16</xdr:col>
      <xdr:colOff>9525</xdr:colOff>
      <xdr:row>32</xdr:row>
      <xdr:rowOff>47625</xdr:rowOff>
    </xdr:from>
    <xdr:to>
      <xdr:col>22</xdr:col>
      <xdr:colOff>28575</xdr:colOff>
      <xdr:row>37</xdr:row>
      <xdr:rowOff>104774</xdr:rowOff>
    </xdr:to>
    <xdr:sp macro="" textlink="">
      <xdr:nvSpPr>
        <xdr:cNvPr id="47" name="CuadroTexto 46">
          <a:extLst>
            <a:ext uri="{FF2B5EF4-FFF2-40B4-BE49-F238E27FC236}">
              <a16:creationId xmlns:a16="http://schemas.microsoft.com/office/drawing/2014/main" id="{00000000-0008-0000-0100-00002F000000}"/>
            </a:ext>
          </a:extLst>
        </xdr:cNvPr>
        <xdr:cNvSpPr txBox="1"/>
      </xdr:nvSpPr>
      <xdr:spPr>
        <a:xfrm>
          <a:off x="12201525" y="6143625"/>
          <a:ext cx="4591050" cy="1009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Desde un punto de vista</a:t>
          </a:r>
          <a:r>
            <a:rPr lang="es-MX" sz="1100" baseline="0"/>
            <a:t> financiero a largo plazo. Ben ganará más dinero a largo plazo si obtiene MBA en la Universidad de Walton. Incluso con el año adicional sin salario y con un costo más alto, tiene tiempo suficiente para trabajar antes de la jubilación prevista para compensar el costo adicional. </a:t>
          </a:r>
        </a:p>
        <a:p>
          <a:r>
            <a:rPr lang="es-MX" sz="1100" baseline="0"/>
            <a:t>Siempre y cuando sea contratado inmediatamente después de obtener el MBA.</a:t>
          </a:r>
        </a:p>
        <a:p>
          <a:endParaRPr lang="es-MX" sz="1100" baseline="0"/>
        </a:p>
        <a:p>
          <a:endParaRPr lang="es-MX" sz="1100"/>
        </a:p>
      </xdr:txBody>
    </xdr:sp>
    <xdr:clientData/>
  </xdr:twoCellAnchor>
  <xdr:oneCellAnchor>
    <xdr:from>
      <xdr:col>23</xdr:col>
      <xdr:colOff>0</xdr:colOff>
      <xdr:row>152</xdr:row>
      <xdr:rowOff>0</xdr:rowOff>
    </xdr:from>
    <xdr:ext cx="2375522" cy="172227"/>
    <mc:AlternateContent xmlns:mc="http://schemas.openxmlformats.org/markup-compatibility/2006" xmlns:a14="http://schemas.microsoft.com/office/drawing/2010/main">
      <mc:Choice Requires="a14">
        <xdr:sp macro="" textlink="">
          <xdr:nvSpPr>
            <xdr:cNvPr id="48" name="CuadroTexto 47">
              <a:extLst>
                <a:ext uri="{FF2B5EF4-FFF2-40B4-BE49-F238E27FC236}">
                  <a16:creationId xmlns:a16="http://schemas.microsoft.com/office/drawing/2014/main" id="{00000000-0008-0000-0100-000030000000}"/>
                </a:ext>
              </a:extLst>
            </xdr:cNvPr>
            <xdr:cNvSpPr txBox="1"/>
          </xdr:nvSpPr>
          <xdr:spPr>
            <a:xfrm>
              <a:off x="17526000" y="28956000"/>
              <a:ext cx="237552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1" i="1">
                        <a:latin typeface="Cambria Math" panose="02040503050406030204" pitchFamily="18" charset="0"/>
                      </a:rPr>
                      <m:t>𝑪𝒂𝒔𝒐</m:t>
                    </m:r>
                    <m:r>
                      <a:rPr lang="es-MX" sz="1100" b="1" i="1">
                        <a:latin typeface="Cambria Math" panose="02040503050406030204" pitchFamily="18" charset="0"/>
                      </a:rPr>
                      <m:t> </m:t>
                    </m:r>
                    <m:r>
                      <a:rPr lang="es-MX" sz="1100" b="1" i="1">
                        <a:latin typeface="Cambria Math" panose="02040503050406030204" pitchFamily="18" charset="0"/>
                      </a:rPr>
                      <m:t>𝟐</m:t>
                    </m:r>
                    <m:r>
                      <a:rPr lang="es-MX" sz="1100" b="0" i="1">
                        <a:latin typeface="Cambria Math" panose="02040503050406030204" pitchFamily="18" charset="0"/>
                      </a:rPr>
                      <m:t>. </m:t>
                    </m:r>
                    <m:r>
                      <a:rPr lang="es-MX" sz="1100" b="0" i="1">
                        <a:latin typeface="Cambria Math" panose="02040503050406030204" pitchFamily="18" charset="0"/>
                      </a:rPr>
                      <m:t>𝑀𝐵𝐴</m:t>
                    </m:r>
                    <m:r>
                      <a:rPr lang="es-MX" sz="1100" b="0" i="1">
                        <a:latin typeface="Cambria Math" panose="02040503050406030204" pitchFamily="18" charset="0"/>
                      </a:rPr>
                      <m:t> </m:t>
                    </m:r>
                    <m:r>
                      <a:rPr lang="es-MX" sz="1100" b="0" i="1">
                        <a:latin typeface="Cambria Math" panose="02040503050406030204" pitchFamily="18" charset="0"/>
                      </a:rPr>
                      <m:t>𝑒𝑛</m:t>
                    </m:r>
                    <m:r>
                      <a:rPr lang="es-MX" sz="1100" b="0" i="1">
                        <a:latin typeface="Cambria Math" panose="02040503050406030204" pitchFamily="18" charset="0"/>
                      </a:rPr>
                      <m:t> </m:t>
                    </m:r>
                    <m:r>
                      <a:rPr lang="es-MX" sz="1100" b="0" i="1">
                        <a:latin typeface="Cambria Math" panose="02040503050406030204" pitchFamily="18" charset="0"/>
                      </a:rPr>
                      <m:t>𝑀𝑜𝑢𝑛𝑡</m:t>
                    </m:r>
                    <m:r>
                      <a:rPr lang="es-MX" sz="1100" b="0" i="1">
                        <a:latin typeface="Cambria Math" panose="02040503050406030204" pitchFamily="18" charset="0"/>
                      </a:rPr>
                      <m:t> </m:t>
                    </m:r>
                    <m:r>
                      <a:rPr lang="es-MX" sz="1100" b="0" i="1">
                        <a:latin typeface="Cambria Math" panose="02040503050406030204" pitchFamily="18" charset="0"/>
                      </a:rPr>
                      <m:t>𝑃𝑒𝑟𝑟𝑦</m:t>
                    </m:r>
                    <m:r>
                      <a:rPr lang="es-MX" sz="1100" b="0" i="1">
                        <a:latin typeface="Cambria Math" panose="02040503050406030204" pitchFamily="18" charset="0"/>
                      </a:rPr>
                      <m:t> </m:t>
                    </m:r>
                    <m:r>
                      <a:rPr lang="es-MX" sz="1100" b="0" i="1">
                        <a:latin typeface="Cambria Math" panose="02040503050406030204" pitchFamily="18" charset="0"/>
                      </a:rPr>
                      <m:t>𝐶𝑜𝑙𝑙𝑒𝑔𝑒</m:t>
                    </m:r>
                  </m:oMath>
                </m:oMathPara>
              </a14:m>
              <a:endParaRPr lang="es-MX" sz="1100"/>
            </a:p>
          </xdr:txBody>
        </xdr:sp>
      </mc:Choice>
      <mc:Fallback xmlns="">
        <xdr:sp macro="" textlink="">
          <xdr:nvSpPr>
            <xdr:cNvPr id="48" name="CuadroTexto 47">
              <a:extLst>
                <a:ext uri="{FF2B5EF4-FFF2-40B4-BE49-F238E27FC236}">
                  <a16:creationId xmlns:a16="http://schemas.microsoft.com/office/drawing/2014/main" id="{94070EC5-21A4-4A0C-BE10-1D47F85626CF}"/>
                </a:ext>
              </a:extLst>
            </xdr:cNvPr>
            <xdr:cNvSpPr txBox="1"/>
          </xdr:nvSpPr>
          <xdr:spPr>
            <a:xfrm>
              <a:off x="17526000" y="28956000"/>
              <a:ext cx="237552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1" i="0">
                  <a:latin typeface="Cambria Math" panose="02040503050406030204" pitchFamily="18" charset="0"/>
                </a:rPr>
                <a:t>𝑪𝒂𝒔𝒐 𝟐</a:t>
              </a:r>
              <a:r>
                <a:rPr lang="es-MX" sz="1100" b="0" i="0">
                  <a:latin typeface="Cambria Math" panose="02040503050406030204" pitchFamily="18" charset="0"/>
                </a:rPr>
                <a:t>. 𝑀𝐵𝐴 𝑒𝑛 𝑀𝑜𝑢𝑛𝑡 𝑃𝑒𝑟𝑟𝑦 𝐶𝑜𝑙𝑙𝑒𝑔𝑒</a:t>
              </a:r>
              <a:endParaRPr lang="es-MX" sz="1100"/>
            </a:p>
          </xdr:txBody>
        </xdr:sp>
      </mc:Fallback>
    </mc:AlternateContent>
    <xdr:clientData/>
  </xdr:oneCellAnchor>
  <xdr:oneCellAnchor>
    <xdr:from>
      <xdr:col>23</xdr:col>
      <xdr:colOff>0</xdr:colOff>
      <xdr:row>153</xdr:row>
      <xdr:rowOff>0</xdr:rowOff>
    </xdr:from>
    <xdr:ext cx="5687711" cy="172227"/>
    <mc:AlternateContent xmlns:mc="http://schemas.openxmlformats.org/markup-compatibility/2006" xmlns:a14="http://schemas.microsoft.com/office/drawing/2010/main">
      <mc:Choice Requires="a14">
        <xdr:sp macro="" textlink="">
          <xdr:nvSpPr>
            <xdr:cNvPr id="49" name="CuadroTexto 48">
              <a:extLst>
                <a:ext uri="{FF2B5EF4-FFF2-40B4-BE49-F238E27FC236}">
                  <a16:creationId xmlns:a16="http://schemas.microsoft.com/office/drawing/2014/main" id="{00000000-0008-0000-0100-000031000000}"/>
                </a:ext>
              </a:extLst>
            </xdr:cNvPr>
            <xdr:cNvSpPr txBox="1"/>
          </xdr:nvSpPr>
          <xdr:spPr>
            <a:xfrm>
              <a:off x="17526000" y="29146500"/>
              <a:ext cx="568771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𝐸𝑛</m:t>
                    </m:r>
                    <m:r>
                      <a:rPr lang="es-MX" sz="1100" b="0" i="1">
                        <a:latin typeface="Cambria Math" panose="02040503050406030204" pitchFamily="18" charset="0"/>
                      </a:rPr>
                      <m:t> </m:t>
                    </m:r>
                    <m:r>
                      <a:rPr lang="es-MX" sz="1100" b="0" i="1">
                        <a:latin typeface="Cambria Math" panose="02040503050406030204" pitchFamily="18" charset="0"/>
                      </a:rPr>
                      <m:t>𝑒𝑠𝑡𝑒</m:t>
                    </m:r>
                    <m:r>
                      <a:rPr lang="es-MX" sz="1100" b="0" i="1">
                        <a:latin typeface="Cambria Math" panose="02040503050406030204" pitchFamily="18" charset="0"/>
                      </a:rPr>
                      <m:t> </m:t>
                    </m:r>
                    <m:r>
                      <a:rPr lang="es-MX" sz="1100" b="0" i="1">
                        <a:latin typeface="Cambria Math" panose="02040503050406030204" pitchFamily="18" charset="0"/>
                      </a:rPr>
                      <m:t>𝑐𝑎𝑠𝑜</m:t>
                    </m:r>
                    <m:r>
                      <a:rPr lang="es-MX" sz="1100" b="0" i="1">
                        <a:latin typeface="Cambria Math" panose="02040503050406030204" pitchFamily="18" charset="0"/>
                      </a:rPr>
                      <m:t> </m:t>
                    </m:r>
                    <m:r>
                      <a:rPr lang="es-MX" sz="1100" b="0" i="1">
                        <a:latin typeface="Cambria Math" panose="02040503050406030204" pitchFamily="18" charset="0"/>
                      </a:rPr>
                      <m:t>𝐵𝑒𝑛</m:t>
                    </m:r>
                    <m:r>
                      <a:rPr lang="es-MX" sz="1100" b="0" i="1">
                        <a:latin typeface="Cambria Math" panose="02040503050406030204" pitchFamily="18" charset="0"/>
                      </a:rPr>
                      <m:t> </m:t>
                    </m:r>
                    <m:r>
                      <a:rPr lang="es-MX" sz="1100" b="0" i="1">
                        <a:latin typeface="Cambria Math" panose="02040503050406030204" pitchFamily="18" charset="0"/>
                      </a:rPr>
                      <m:t>𝑑𝑒𝑏𝑒</m:t>
                    </m:r>
                    <m:r>
                      <a:rPr lang="es-MX" sz="1100" b="0" i="1">
                        <a:latin typeface="Cambria Math" panose="02040503050406030204" pitchFamily="18" charset="0"/>
                      </a:rPr>
                      <m:t> </m:t>
                    </m:r>
                    <m:r>
                      <a:rPr lang="es-MX" sz="1100" b="0" i="1">
                        <a:latin typeface="Cambria Math" panose="02040503050406030204" pitchFamily="18" charset="0"/>
                      </a:rPr>
                      <m:t>𝑝𝑒𝑑𝑖𝑟</m:t>
                    </m:r>
                    <m:r>
                      <a:rPr lang="es-MX" sz="1100" b="0" i="1">
                        <a:latin typeface="Cambria Math" panose="02040503050406030204" pitchFamily="18" charset="0"/>
                      </a:rPr>
                      <m:t> </m:t>
                    </m:r>
                    <m:r>
                      <a:rPr lang="es-MX" sz="1100" b="0" i="1">
                        <a:latin typeface="Cambria Math" panose="02040503050406030204" pitchFamily="18" charset="0"/>
                      </a:rPr>
                      <m:t>𝑝𝑟𝑒𝑠𝑡𝑎𝑑𝑜</m:t>
                    </m:r>
                    <m:r>
                      <a:rPr lang="es-MX" sz="1100" b="0" i="1">
                        <a:latin typeface="Cambria Math" panose="02040503050406030204" pitchFamily="18" charset="0"/>
                      </a:rPr>
                      <m:t> $89,500. </m:t>
                    </m:r>
                    <m:r>
                      <a:rPr lang="es-MX" sz="1100" b="0" i="1">
                        <a:latin typeface="Cambria Math" panose="02040503050406030204" pitchFamily="18" charset="0"/>
                      </a:rPr>
                      <m:t>𝐿𝑎</m:t>
                    </m:r>
                    <m:r>
                      <a:rPr lang="es-MX" sz="1100" b="0" i="1">
                        <a:latin typeface="Cambria Math" panose="02040503050406030204" pitchFamily="18" charset="0"/>
                      </a:rPr>
                      <m:t> </m:t>
                    </m:r>
                    <m:r>
                      <a:rPr lang="es-MX" sz="1100" b="0" i="1">
                        <a:latin typeface="Cambria Math" panose="02040503050406030204" pitchFamily="18" charset="0"/>
                      </a:rPr>
                      <m:t>𝑡𝑎𝑠𝑎</m:t>
                    </m:r>
                    <m:r>
                      <a:rPr lang="es-MX" sz="1100" b="0" i="1">
                        <a:latin typeface="Cambria Math" panose="02040503050406030204" pitchFamily="18" charset="0"/>
                      </a:rPr>
                      <m:t> </m:t>
                    </m:r>
                    <m:r>
                      <a:rPr lang="es-MX" sz="1100" b="0" i="1">
                        <a:latin typeface="Cambria Math" panose="02040503050406030204" pitchFamily="18" charset="0"/>
                      </a:rPr>
                      <m:t>𝑎𝑐𝑡𝑢𝑎𝑙</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m:t>
                    </m:r>
                    <m:r>
                      <a:rPr lang="es-MX" sz="1100" b="0" i="1">
                        <a:latin typeface="Cambria Math" panose="02040503050406030204" pitchFamily="18" charset="0"/>
                      </a:rPr>
                      <m:t>𝑒𝑛𝑑𝑒𝑢𝑑𝑎𝑚𝑖𝑒𝑛𝑡𝑜</m:t>
                    </m:r>
                    <m:r>
                      <a:rPr lang="es-MX" sz="1100" b="0" i="1">
                        <a:latin typeface="Cambria Math" panose="02040503050406030204" pitchFamily="18" charset="0"/>
                      </a:rPr>
                      <m:t> </m:t>
                    </m:r>
                    <m:r>
                      <a:rPr lang="es-MX" sz="1100" b="0" i="1">
                        <a:latin typeface="Cambria Math" panose="02040503050406030204" pitchFamily="18" charset="0"/>
                      </a:rPr>
                      <m:t>𝑒𝑠</m:t>
                    </m:r>
                    <m:r>
                      <a:rPr lang="es-MX" sz="1100" b="0" i="1">
                        <a:latin typeface="Cambria Math" panose="02040503050406030204" pitchFamily="18" charset="0"/>
                      </a:rPr>
                      <m:t> </m:t>
                    </m:r>
                    <m:r>
                      <a:rPr lang="es-MX" sz="1100" b="0" i="1">
                        <a:latin typeface="Cambria Math" panose="02040503050406030204" pitchFamily="18" charset="0"/>
                      </a:rPr>
                      <m:t>𝑑𝑒</m:t>
                    </m:r>
                    <m:r>
                      <a:rPr lang="es-MX" sz="1100" b="0" i="1">
                        <a:latin typeface="Cambria Math" panose="02040503050406030204" pitchFamily="18" charset="0"/>
                      </a:rPr>
                      <m:t> 5%</m:t>
                    </m:r>
                  </m:oMath>
                </m:oMathPara>
              </a14:m>
              <a:endParaRPr lang="es-MX" sz="1100"/>
            </a:p>
          </xdr:txBody>
        </xdr:sp>
      </mc:Choice>
      <mc:Fallback xmlns="">
        <xdr:sp macro="" textlink="">
          <xdr:nvSpPr>
            <xdr:cNvPr id="49" name="CuadroTexto 48">
              <a:extLst>
                <a:ext uri="{FF2B5EF4-FFF2-40B4-BE49-F238E27FC236}">
                  <a16:creationId xmlns:a16="http://schemas.microsoft.com/office/drawing/2014/main" id="{B1AF18EB-D0EA-4002-B7EF-6E02855810A1}"/>
                </a:ext>
              </a:extLst>
            </xdr:cNvPr>
            <xdr:cNvSpPr txBox="1"/>
          </xdr:nvSpPr>
          <xdr:spPr>
            <a:xfrm>
              <a:off x="17526000" y="29146500"/>
              <a:ext cx="568771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𝐸𝑛 𝑒𝑠𝑡𝑒 𝑐𝑎𝑠𝑜 𝐵𝑒𝑛 𝑑𝑒𝑏𝑒 𝑝𝑒𝑑𝑖𝑟 𝑝𝑟𝑒𝑠𝑡𝑎𝑑𝑜 $89,500. 𝐿𝑎 𝑡𝑎𝑠𝑎 𝑎𝑐𝑡𝑢𝑎𝑙 𝑑𝑒 𝑒𝑛𝑑𝑒𝑢𝑑𝑎𝑚𝑖𝑒𝑛𝑡𝑜 𝑒𝑠 𝑑𝑒 5%</a:t>
              </a:r>
              <a:endParaRPr lang="es-MX" sz="1100"/>
            </a:p>
          </xdr:txBody>
        </xdr:sp>
      </mc:Fallback>
    </mc:AlternateContent>
    <xdr:clientData/>
  </xdr:oneCellAnchor>
  <xdr:oneCellAnchor>
    <xdr:from>
      <xdr:col>25</xdr:col>
      <xdr:colOff>790575</xdr:colOff>
      <xdr:row>92</xdr:row>
      <xdr:rowOff>147637</xdr:rowOff>
    </xdr:from>
    <xdr:ext cx="1312539" cy="893193"/>
    <mc:AlternateContent xmlns:mc="http://schemas.openxmlformats.org/markup-compatibility/2006" xmlns:a14="http://schemas.microsoft.com/office/drawing/2010/main">
      <mc:Choice Requires="a14">
        <xdr:sp macro="" textlink="">
          <xdr:nvSpPr>
            <xdr:cNvPr id="50" name="CuadroTexto 49">
              <a:extLst>
                <a:ext uri="{FF2B5EF4-FFF2-40B4-BE49-F238E27FC236}">
                  <a16:creationId xmlns:a16="http://schemas.microsoft.com/office/drawing/2014/main" id="{00000000-0008-0000-0100-000032000000}"/>
                </a:ext>
              </a:extLst>
            </xdr:cNvPr>
            <xdr:cNvSpPr txBox="1"/>
          </xdr:nvSpPr>
          <xdr:spPr>
            <a:xfrm>
              <a:off x="19812000" y="17673637"/>
              <a:ext cx="1312539" cy="893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sty m:val="p"/>
                      </m:rPr>
                      <a:rPr lang="es-MX" sz="1100" b="0" i="0">
                        <a:solidFill>
                          <a:schemeClr val="tx1"/>
                        </a:solidFill>
                        <a:effectLst/>
                        <a:latin typeface="Cambria Math" panose="02040503050406030204" pitchFamily="18" charset="0"/>
                        <a:ea typeface="+mn-ea"/>
                        <a:cs typeface="+mn-cs"/>
                      </a:rPr>
                      <m:t>C</m:t>
                    </m:r>
                    <m:r>
                      <a:rPr lang="es-MX" sz="1100" b="0" i="0">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𝑉𝑃</m:t>
                        </m:r>
                      </m:num>
                      <m:den>
                        <m:d>
                          <m:dPr>
                            <m:begChr m:val="["/>
                            <m:endChr m:val="]"/>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sSup>
                                  <m:sSupPr>
                                    <m:ctrlPr>
                                      <a:rPr lang="es-MX" sz="1100" b="0" i="1">
                                        <a:solidFill>
                                          <a:schemeClr val="tx1"/>
                                        </a:solidFill>
                                        <a:effectLst/>
                                        <a:latin typeface="Cambria Math" panose="02040503050406030204" pitchFamily="18" charset="0"/>
                                        <a:ea typeface="+mn-ea"/>
                                        <a:cs typeface="+mn-cs"/>
                                      </a:rPr>
                                    </m:ctrlPr>
                                  </m:sSupPr>
                                  <m:e>
                                    <m:d>
                                      <m:dPr>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𝑔</m:t>
                                            </m:r>
                                          </m:num>
                                          <m:den>
                                            <m:r>
                                              <a:rPr lang="es-MX" sz="1100" b="0" i="1">
                                                <a:solidFill>
                                                  <a:schemeClr val="tx1"/>
                                                </a:solidFill>
                                                <a:effectLst/>
                                                <a:latin typeface="Cambria Math" panose="02040503050406030204" pitchFamily="18" charset="0"/>
                                                <a:ea typeface="+mn-ea"/>
                                                <a:cs typeface="+mn-cs"/>
                                              </a:rPr>
                                              <m:t>1+</m:t>
                                            </m:r>
                                            <m:r>
                                              <a:rPr lang="es-MX" sz="1100" b="0" i="1">
                                                <a:solidFill>
                                                  <a:schemeClr val="tx1"/>
                                                </a:solidFill>
                                                <a:effectLst/>
                                                <a:latin typeface="Cambria Math" panose="02040503050406030204" pitchFamily="18" charset="0"/>
                                                <a:ea typeface="+mn-ea"/>
                                                <a:cs typeface="+mn-cs"/>
                                              </a:rPr>
                                              <m:t>𝑟</m:t>
                                            </m:r>
                                          </m:den>
                                        </m:f>
                                      </m:e>
                                    </m:d>
                                  </m:e>
                                  <m:sup>
                                    <m:r>
                                      <a:rPr lang="es-MX" sz="1100" b="0" i="1">
                                        <a:solidFill>
                                          <a:schemeClr val="tx1"/>
                                        </a:solidFill>
                                        <a:effectLst/>
                                        <a:latin typeface="Cambria Math" panose="02040503050406030204" pitchFamily="18" charset="0"/>
                                        <a:ea typeface="+mn-ea"/>
                                        <a:cs typeface="+mn-cs"/>
                                      </a:rPr>
                                      <m:t>𝑇</m:t>
                                    </m:r>
                                  </m:sup>
                                </m:sSup>
                              </m:num>
                              <m:den>
                                <m:r>
                                  <a:rPr lang="es-MX" sz="1100" b="0" i="1">
                                    <a:solidFill>
                                      <a:schemeClr val="tx1"/>
                                    </a:solidFill>
                                    <a:effectLst/>
                                    <a:latin typeface="Cambria Math" panose="02040503050406030204" pitchFamily="18" charset="0"/>
                                    <a:ea typeface="+mn-ea"/>
                                    <a:cs typeface="+mn-cs"/>
                                  </a:rPr>
                                  <m:t>𝑟</m:t>
                                </m:r>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𝑔</m:t>
                                </m:r>
                              </m:den>
                            </m:f>
                          </m:e>
                        </m:d>
                      </m:den>
                    </m:f>
                  </m:oMath>
                </m:oMathPara>
              </a14:m>
              <a:endParaRPr lang="es-MX">
                <a:effectLst/>
              </a:endParaRPr>
            </a:p>
            <a:p>
              <a:endParaRPr lang="es-MX" sz="1100"/>
            </a:p>
          </xdr:txBody>
        </xdr:sp>
      </mc:Choice>
      <mc:Fallback xmlns="">
        <xdr:sp macro="" textlink="">
          <xdr:nvSpPr>
            <xdr:cNvPr id="50" name="CuadroTexto 49">
              <a:extLst>
                <a:ext uri="{FF2B5EF4-FFF2-40B4-BE49-F238E27FC236}">
                  <a16:creationId xmlns:a16="http://schemas.microsoft.com/office/drawing/2014/main" id="{F07E0A06-59AF-4F05-84E6-55787BD4EA0C}"/>
                </a:ext>
              </a:extLst>
            </xdr:cNvPr>
            <xdr:cNvSpPr txBox="1"/>
          </xdr:nvSpPr>
          <xdr:spPr>
            <a:xfrm>
              <a:off x="19812000" y="17673637"/>
              <a:ext cx="1312539" cy="893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MX" sz="1100" b="0" i="0">
                  <a:solidFill>
                    <a:schemeClr val="tx1"/>
                  </a:solidFill>
                  <a:effectLst/>
                  <a:latin typeface="Cambria Math" panose="02040503050406030204" pitchFamily="18" charset="0"/>
                  <a:ea typeface="+mn-ea"/>
                  <a:cs typeface="+mn-cs"/>
                </a:rPr>
                <a:t>C=𝑉𝑃/[(1−((1+𝑔)/(1+𝑟))^𝑇)/(𝑟−𝑔)] </a:t>
              </a:r>
              <a:endParaRPr lang="es-MX">
                <a:effectLst/>
              </a:endParaRPr>
            </a:p>
            <a:p>
              <a:endParaRPr lang="es-MX" sz="1100"/>
            </a:p>
          </xdr:txBody>
        </xdr:sp>
      </mc:Fallback>
    </mc:AlternateContent>
    <xdr:clientData/>
  </xdr:oneCellAnchor>
  <xdr:oneCellAnchor>
    <xdr:from>
      <xdr:col>25</xdr:col>
      <xdr:colOff>171449</xdr:colOff>
      <xdr:row>93</xdr:row>
      <xdr:rowOff>114300</xdr:rowOff>
    </xdr:from>
    <xdr:ext cx="390525" cy="281808"/>
    <mc:AlternateContent xmlns:mc="http://schemas.openxmlformats.org/markup-compatibility/2006" xmlns:a14="http://schemas.microsoft.com/office/drawing/2010/main">
      <mc:Choice Requires="a14">
        <xdr:sp macro="" textlink="">
          <xdr:nvSpPr>
            <xdr:cNvPr id="51" name="CuadroTexto 50">
              <a:extLst>
                <a:ext uri="{FF2B5EF4-FFF2-40B4-BE49-F238E27FC236}">
                  <a16:creationId xmlns:a16="http://schemas.microsoft.com/office/drawing/2014/main" id="{00000000-0008-0000-0100-000033000000}"/>
                </a:ext>
              </a:extLst>
            </xdr:cNvPr>
            <xdr:cNvSpPr txBox="1"/>
          </xdr:nvSpPr>
          <xdr:spPr>
            <a:xfrm>
              <a:off x="19221449" y="17830800"/>
              <a:ext cx="39052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800" i="1">
                        <a:latin typeface="Cambria Math" panose="02040503050406030204" pitchFamily="18" charset="0"/>
                      </a:rPr>
                      <m:t>⇒</m:t>
                    </m:r>
                  </m:oMath>
                </m:oMathPara>
              </a14:m>
              <a:endParaRPr lang="es-MX" sz="1800"/>
            </a:p>
          </xdr:txBody>
        </xdr:sp>
      </mc:Choice>
      <mc:Fallback xmlns="">
        <xdr:sp macro="" textlink="">
          <xdr:nvSpPr>
            <xdr:cNvPr id="51" name="CuadroTexto 50">
              <a:extLst>
                <a:ext uri="{FF2B5EF4-FFF2-40B4-BE49-F238E27FC236}">
                  <a16:creationId xmlns:a16="http://schemas.microsoft.com/office/drawing/2014/main" id="{C40AD880-B3A7-4A44-BD31-FB89E08DE538}"/>
                </a:ext>
              </a:extLst>
            </xdr:cNvPr>
            <xdr:cNvSpPr txBox="1"/>
          </xdr:nvSpPr>
          <xdr:spPr>
            <a:xfrm>
              <a:off x="19221449" y="17830800"/>
              <a:ext cx="39052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800" i="0">
                  <a:latin typeface="Cambria Math" panose="02040503050406030204" pitchFamily="18" charset="0"/>
                </a:rPr>
                <a:t>⇒</a:t>
              </a:r>
              <a:endParaRPr lang="es-MX" sz="18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xdr:from>
      <xdr:col>0</xdr:col>
      <xdr:colOff>9525</xdr:colOff>
      <xdr:row>0</xdr:row>
      <xdr:rowOff>9524</xdr:rowOff>
    </xdr:from>
    <xdr:to>
      <xdr:col>9</xdr:col>
      <xdr:colOff>247650</xdr:colOff>
      <xdr:row>34</xdr:row>
      <xdr:rowOff>123825</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525" y="9524"/>
          <a:ext cx="7096125" cy="65913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t>BULLOCK GOLD</a:t>
          </a:r>
          <a:r>
            <a:rPr lang="es-MX" sz="1100" b="1" baseline="0"/>
            <a:t> MINING</a:t>
          </a:r>
        </a:p>
        <a:p>
          <a:r>
            <a:rPr lang="es-MX"/>
            <a:t>Seth Bullock, propietario de Bullock Gold Mining, evalúa una nueva mina de oro en Dakota del Sur. Dan Dority, geólogo de la compañía, acaba de terminar su análisis de la mina. Estima que la mina sería productiva durante ocho años, después de lo cual el oro quedaría totalmente agotado. Dan le ha presentado a Alma Garrett, directora financiera de la empresa, una estimación de los yacimientos de oro. Seth le ha pedido a Alma que realice un análisis de la nueva mina y que le indique si la compañía debe abrirla</a:t>
          </a:r>
          <a:r>
            <a:rPr lang="es-MX" sz="1100"/>
            <a:t>.</a:t>
          </a:r>
        </a:p>
        <a:p>
          <a:r>
            <a:rPr lang="es-MX"/>
            <a:t>Alma ha usado las estimaciones que le proporcionó Dan para determinar los ingresos que podrían esperarse de la mina. También ha proyectado los gastos de apertura y los gastos de operación anuales. Si la empresa abre la mina, hoy tendrá un costo de 400 millones de dólares, así como una salida de efectivo de 80 millones de dólares dentro de nueve años por los costos asociados con el cierre de la mina y las reparaciones del área circundante. Los flujos de efectivo esperados cada año del proyecto de la mina se muestran en la siguiente tabla. Bullock Mining tiene un rendimiento requerido de 12% sobre todas sus minas de oro.</a:t>
          </a:r>
        </a:p>
        <a:p>
          <a:endParaRPr lang="es-MX"/>
        </a:p>
        <a:p>
          <a:endParaRPr lang="es-MX"/>
        </a:p>
        <a:p>
          <a:endParaRPr lang="es-MX"/>
        </a:p>
        <a:p>
          <a:endParaRPr lang="es-MX"/>
        </a:p>
        <a:p>
          <a:endParaRPr lang="es-MX"/>
        </a:p>
        <a:p>
          <a:endParaRPr lang="es-MX"/>
        </a:p>
        <a:p>
          <a:endParaRPr lang="es-MX"/>
        </a:p>
        <a:p>
          <a:endParaRPr lang="es-MX"/>
        </a:p>
        <a:p>
          <a:endParaRPr lang="es-MX"/>
        </a:p>
        <a:p>
          <a:endParaRPr lang="es-MX"/>
        </a:p>
        <a:p>
          <a:endParaRPr lang="es-MX"/>
        </a:p>
        <a:p>
          <a:endParaRPr lang="es-MX"/>
        </a:p>
        <a:p>
          <a:endParaRPr lang="es-MX"/>
        </a:p>
        <a:p>
          <a:r>
            <a:rPr lang="es-MX"/>
            <a:t>1. Prepare una hoja electrónica para calcular el periodo de recuperación, la tasa interna de rendimiento, la tasa interna de rendimiento modificada y el valor presente neto de la mina propuesta. </a:t>
          </a:r>
        </a:p>
        <a:p>
          <a:endParaRPr lang="es-MX"/>
        </a:p>
        <a:p>
          <a:r>
            <a:rPr lang="es-MX"/>
            <a:t>2. Basándose en su análisis, ¿debe la empresa abrir la mina? </a:t>
          </a:r>
        </a:p>
        <a:p>
          <a:endParaRPr lang="es-MX"/>
        </a:p>
        <a:p>
          <a:r>
            <a:rPr lang="es-MX"/>
            <a:t>3. Pregunta con valor superior: la mayoría de las hojas de cálculo no tienen una fórmula incorporada para calcular el periodo de recuperación. Escriba una secuencia de comandos VBA que calcule el periodo de recuperación de un proyecto.</a:t>
          </a:r>
        </a:p>
      </xdr:txBody>
    </xdr:sp>
    <xdr:clientData/>
  </xdr:twoCellAnchor>
  <xdr:oneCellAnchor>
    <xdr:from>
      <xdr:col>0</xdr:col>
      <xdr:colOff>133350</xdr:colOff>
      <xdr:row>11</xdr:row>
      <xdr:rowOff>19050</xdr:rowOff>
    </xdr:from>
    <xdr:ext cx="2210108" cy="2057687"/>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33350" y="2114550"/>
          <a:ext cx="2210108" cy="2057687"/>
        </a:xfrm>
        <a:prstGeom prst="rect">
          <a:avLst/>
        </a:prstGeom>
      </xdr:spPr>
    </xdr:pic>
    <xdr:clientData/>
  </xdr:oneCellAnchor>
  <xdr:twoCellAnchor>
    <xdr:from>
      <xdr:col>9</xdr:col>
      <xdr:colOff>752475</xdr:colOff>
      <xdr:row>14</xdr:row>
      <xdr:rowOff>9524</xdr:rowOff>
    </xdr:from>
    <xdr:to>
      <xdr:col>14</xdr:col>
      <xdr:colOff>209550</xdr:colOff>
      <xdr:row>22</xdr:row>
      <xdr:rowOff>123825</xdr:rowOff>
    </xdr:to>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7610475" y="2676524"/>
          <a:ext cx="3267075" cy="16383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0" i="0" u="none" strike="noStrike">
              <a:solidFill>
                <a:schemeClr val="dk1"/>
              </a:solidFill>
              <a:effectLst/>
              <a:latin typeface="+mn-lt"/>
              <a:ea typeface="+mn-ea"/>
              <a:cs typeface="+mn-cs"/>
            </a:rPr>
            <a:t>Como</a:t>
          </a:r>
          <a:r>
            <a:rPr lang="es-MX" sz="1100" b="0" i="0" u="none" strike="noStrike" baseline="0">
              <a:solidFill>
                <a:schemeClr val="dk1"/>
              </a:solidFill>
              <a:effectLst/>
              <a:latin typeface="+mn-lt"/>
              <a:ea typeface="+mn-ea"/>
              <a:cs typeface="+mn-cs"/>
            </a:rPr>
            <a:t> </a:t>
          </a:r>
          <a:r>
            <a:rPr lang="es-MX" sz="1100" b="0" i="0" u="none" strike="noStrike">
              <a:solidFill>
                <a:schemeClr val="dk1"/>
              </a:solidFill>
              <a:effectLst/>
              <a:latin typeface="+mn-lt"/>
              <a:ea typeface="+mn-ea"/>
              <a:cs typeface="+mn-cs"/>
            </a:rPr>
            <a:t>VAN es</a:t>
          </a:r>
          <a:r>
            <a:rPr lang="es-MX" sz="1100" b="0" i="0" u="none" strike="noStrike" baseline="0">
              <a:solidFill>
                <a:schemeClr val="dk1"/>
              </a:solidFill>
              <a:effectLst/>
              <a:latin typeface="+mn-lt"/>
              <a:ea typeface="+mn-ea"/>
              <a:cs typeface="+mn-cs"/>
            </a:rPr>
            <a:t> mayor que </a:t>
          </a:r>
          <a:r>
            <a:rPr lang="es-MX" sz="1100" b="0" i="0" u="none" strike="noStrike">
              <a:solidFill>
                <a:schemeClr val="dk1"/>
              </a:solidFill>
              <a:effectLst/>
              <a:latin typeface="+mn-lt"/>
              <a:ea typeface="+mn-ea"/>
              <a:cs typeface="+mn-cs"/>
            </a:rPr>
            <a:t>0 el proyecto se acepta.</a:t>
          </a:r>
          <a:r>
            <a:rPr lang="es-MX"/>
            <a:t> </a:t>
          </a:r>
        </a:p>
        <a:p>
          <a:r>
            <a:rPr lang="es-MX" sz="1100" b="0" i="0" u="none" strike="noStrike">
              <a:solidFill>
                <a:schemeClr val="dk1"/>
              </a:solidFill>
              <a:effectLst/>
              <a:latin typeface="+mn-lt"/>
              <a:ea typeface="+mn-ea"/>
              <a:cs typeface="+mn-cs"/>
            </a:rPr>
            <a:t>Tenemos una </a:t>
          </a:r>
          <a:r>
            <a:rPr lang="es-MX" sz="1100" b="1" i="0" u="none" strike="noStrike">
              <a:solidFill>
                <a:srgbClr val="FF0000"/>
              </a:solidFill>
              <a:effectLst/>
              <a:latin typeface="+mn-lt"/>
              <a:ea typeface="+mn-ea"/>
              <a:cs typeface="+mn-cs"/>
            </a:rPr>
            <a:t>TIR=  </a:t>
          </a:r>
          <a:r>
            <a:rPr lang="es-MX" sz="1100" b="0" i="0" u="none" strike="noStrike">
              <a:solidFill>
                <a:schemeClr val="dk1"/>
              </a:solidFill>
              <a:effectLst/>
              <a:latin typeface="+mn-lt"/>
              <a:ea typeface="+mn-ea"/>
              <a:cs typeface="+mn-cs"/>
            </a:rPr>
            <a:t>&gt;12% =Rencimiento mínimo requerido, entonces el proyecto es rentable.</a:t>
          </a:r>
          <a:r>
            <a:rPr lang="es-MX"/>
            <a:t> </a:t>
          </a:r>
        </a:p>
        <a:p>
          <a:r>
            <a:rPr lang="es-MX" sz="1100"/>
            <a:t>L</a:t>
          </a:r>
          <a:r>
            <a:rPr lang="es-MX" sz="1100" baseline="0"/>
            <a:t>a inversión se recupera entre los 3 y 4 años según el Periodo de recuperación, restando 4 en los que se generan flujos positivos. </a:t>
          </a:r>
        </a:p>
        <a:p>
          <a:r>
            <a:rPr lang="es-MX" sz="1100" baseline="0"/>
            <a:t>Así, por lo que indican los tres factores anteriores, decimos que el proyecto debe llevarse a cabo, es decir, la empresa debe abrir la mina. </a:t>
          </a:r>
        </a:p>
        <a:p>
          <a:endParaRPr lang="es-MX" sz="1100"/>
        </a:p>
      </xdr:txBody>
    </xdr:sp>
    <xdr:clientData/>
  </xdr:twoCellAnchor>
  <xdr:twoCellAnchor editAs="oneCell">
    <xdr:from>
      <xdr:col>14</xdr:col>
      <xdr:colOff>438150</xdr:colOff>
      <xdr:row>1</xdr:row>
      <xdr:rowOff>104775</xdr:rowOff>
    </xdr:from>
    <xdr:to>
      <xdr:col>16</xdr:col>
      <xdr:colOff>571500</xdr:colOff>
      <xdr:row>11</xdr:row>
      <xdr:rowOff>19051</xdr:rowOff>
    </xdr:to>
    <xdr:pic>
      <xdr:nvPicPr>
        <xdr:cNvPr id="5" name="Imagen 4">
          <a:extLst>
            <a:ext uri="{FF2B5EF4-FFF2-40B4-BE49-F238E27FC236}">
              <a16:creationId xmlns:a16="http://schemas.microsoft.com/office/drawing/2014/main" id="{8677AFAA-3597-4AF9-AB15-B629DA490897}"/>
            </a:ext>
          </a:extLst>
        </xdr:cNvPr>
        <xdr:cNvPicPr>
          <a:picLocks noChangeAspect="1"/>
        </xdr:cNvPicPr>
      </xdr:nvPicPr>
      <xdr:blipFill rotWithShape="1">
        <a:blip xmlns:r="http://schemas.openxmlformats.org/officeDocument/2006/relationships" r:embed="rId2"/>
        <a:srcRect l="39683" t="38676" r="38572" b="35930"/>
        <a:stretch/>
      </xdr:blipFill>
      <xdr:spPr>
        <a:xfrm>
          <a:off x="11458575" y="295275"/>
          <a:ext cx="2828925" cy="18573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123825</xdr:colOff>
          <xdr:row>0</xdr:row>
          <xdr:rowOff>247650</xdr:rowOff>
        </xdr:from>
        <xdr:to>
          <xdr:col>2</xdr:col>
          <xdr:colOff>971550</xdr:colOff>
          <xdr:row>0</xdr:row>
          <xdr:rowOff>542925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Calcular</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A5136-06E0-45CC-BE56-44A9F114AD70}">
  <sheetPr codeName="Hoja4">
    <tabColor theme="5" tint="0.39997558519241921"/>
  </sheetPr>
  <dimension ref="B3:D11"/>
  <sheetViews>
    <sheetView showGridLines="0" workbookViewId="0">
      <selection activeCell="M8" sqref="M8"/>
    </sheetView>
  </sheetViews>
  <sheetFormatPr baseColWidth="10" defaultRowHeight="15" x14ac:dyDescent="0.25"/>
  <sheetData>
    <row r="3" spans="2:4" ht="15.75" x14ac:dyDescent="0.25">
      <c r="B3" s="39" t="s">
        <v>94</v>
      </c>
      <c r="C3" s="36"/>
      <c r="D3" s="36"/>
    </row>
    <row r="4" spans="2:4" ht="21" x14ac:dyDescent="0.35">
      <c r="B4" s="38" t="s">
        <v>93</v>
      </c>
      <c r="C4" s="37">
        <v>10</v>
      </c>
      <c r="D4" s="36"/>
    </row>
    <row r="5" spans="2:4" x14ac:dyDescent="0.25">
      <c r="B5" s="35" t="s">
        <v>92</v>
      </c>
      <c r="C5" s="35"/>
      <c r="D5" s="35"/>
    </row>
    <row r="8" spans="2:4" x14ac:dyDescent="0.25">
      <c r="B8" s="34" t="s">
        <v>91</v>
      </c>
      <c r="C8" s="33"/>
      <c r="D8" s="33"/>
    </row>
    <row r="9" spans="2:4" ht="15.75" x14ac:dyDescent="0.25">
      <c r="B9" s="32" t="s">
        <v>90</v>
      </c>
      <c r="C9" s="31"/>
      <c r="D9" s="31"/>
    </row>
    <row r="10" spans="2:4" ht="15.75" x14ac:dyDescent="0.25">
      <c r="B10" s="30" t="s">
        <v>89</v>
      </c>
      <c r="C10" s="29"/>
      <c r="D10" s="29"/>
    </row>
    <row r="11" spans="2:4" ht="15.75" x14ac:dyDescent="0.25">
      <c r="B11" s="28" t="s">
        <v>88</v>
      </c>
      <c r="C11" s="27"/>
      <c r="D11" s="2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0F751-1218-4AAD-A095-B7B7AFAF1441}">
  <sheetPr codeName="Hoja5">
    <tabColor theme="9" tint="0.39997558519241921"/>
  </sheetPr>
  <dimension ref="J1:AE201"/>
  <sheetViews>
    <sheetView showGridLines="0" zoomScale="80" zoomScaleNormal="80" workbookViewId="0">
      <selection activeCell="M8" sqref="M8"/>
    </sheetView>
  </sheetViews>
  <sheetFormatPr baseColWidth="10" defaultRowHeight="15" x14ac:dyDescent="0.25"/>
  <cols>
    <col min="12" max="12" width="19" bestFit="1" customWidth="1"/>
    <col min="15" max="15" width="11.42578125" customWidth="1"/>
    <col min="17" max="17" width="19" bestFit="1" customWidth="1"/>
    <col min="18" max="18" width="14.7109375" bestFit="1" customWidth="1"/>
    <col min="19" max="19" width="37.42578125" bestFit="1" customWidth="1"/>
    <col min="25" max="25" width="17.140625" customWidth="1"/>
    <col min="26" max="26" width="27.28515625" bestFit="1" customWidth="1"/>
    <col min="27" max="27" width="13.5703125" bestFit="1" customWidth="1"/>
    <col min="28" max="28" width="13.42578125" bestFit="1" customWidth="1"/>
    <col min="29" max="29" width="18.28515625" bestFit="1" customWidth="1"/>
    <col min="30" max="30" width="13.42578125" bestFit="1" customWidth="1"/>
  </cols>
  <sheetData>
    <row r="1" spans="12:27" ht="15.75" thickBot="1" x14ac:dyDescent="0.3">
      <c r="L1" s="190" t="s">
        <v>5</v>
      </c>
      <c r="M1" s="189" t="s">
        <v>2</v>
      </c>
      <c r="N1" s="189" t="s">
        <v>3</v>
      </c>
      <c r="O1" s="188" t="s">
        <v>4</v>
      </c>
      <c r="Q1" s="187" t="s">
        <v>15</v>
      </c>
    </row>
    <row r="2" spans="12:27" x14ac:dyDescent="0.25">
      <c r="L2" s="186" t="s">
        <v>1</v>
      </c>
      <c r="M2" s="185">
        <v>60000</v>
      </c>
      <c r="N2" s="184">
        <v>110000</v>
      </c>
      <c r="O2" s="183">
        <v>92000</v>
      </c>
    </row>
    <row r="3" spans="12:27" ht="15.75" thickBot="1" x14ac:dyDescent="0.3">
      <c r="L3" s="179" t="s">
        <v>10</v>
      </c>
      <c r="M3" s="178"/>
      <c r="N3" s="18">
        <v>20000</v>
      </c>
      <c r="O3" s="177">
        <v>18000</v>
      </c>
      <c r="Q3" s="159" t="s">
        <v>82</v>
      </c>
      <c r="X3" s="118" t="s">
        <v>55</v>
      </c>
    </row>
    <row r="4" spans="12:27" ht="15.75" thickBot="1" x14ac:dyDescent="0.3">
      <c r="L4" s="179" t="s">
        <v>0</v>
      </c>
      <c r="M4" s="182">
        <v>0.03</v>
      </c>
      <c r="N4" s="181">
        <v>0.04</v>
      </c>
      <c r="O4" s="180">
        <v>3.5000000000000003E-2</v>
      </c>
      <c r="X4" s="112"/>
      <c r="Y4" s="111"/>
      <c r="Z4" s="111"/>
      <c r="AA4" s="110"/>
    </row>
    <row r="5" spans="12:27" x14ac:dyDescent="0.25">
      <c r="L5" s="179" t="s">
        <v>6</v>
      </c>
      <c r="M5" s="178">
        <v>40</v>
      </c>
      <c r="N5" s="18">
        <v>38</v>
      </c>
      <c r="O5" s="177">
        <v>39</v>
      </c>
      <c r="X5" s="68"/>
      <c r="AA5" s="63"/>
    </row>
    <row r="6" spans="12:27" x14ac:dyDescent="0.25">
      <c r="L6" s="179" t="s">
        <v>7</v>
      </c>
      <c r="M6" s="182">
        <v>0.26</v>
      </c>
      <c r="N6" s="181">
        <v>0.31</v>
      </c>
      <c r="O6" s="180">
        <v>0.28999999999999998</v>
      </c>
      <c r="X6" s="68"/>
      <c r="AA6" s="63"/>
    </row>
    <row r="7" spans="12:27" x14ac:dyDescent="0.25">
      <c r="L7" s="179" t="s">
        <v>8</v>
      </c>
      <c r="M7" s="178"/>
      <c r="N7" s="18">
        <v>65000</v>
      </c>
      <c r="O7" s="177">
        <v>80000</v>
      </c>
      <c r="X7" s="68"/>
      <c r="AA7" s="63"/>
    </row>
    <row r="8" spans="12:27" x14ac:dyDescent="0.25">
      <c r="L8" s="179" t="s">
        <v>9</v>
      </c>
      <c r="M8" s="178"/>
      <c r="N8" s="18">
        <v>3000</v>
      </c>
      <c r="O8" s="177">
        <v>4500</v>
      </c>
      <c r="X8" s="68" t="s">
        <v>97</v>
      </c>
      <c r="AA8" s="63"/>
    </row>
    <row r="9" spans="12:27" x14ac:dyDescent="0.25">
      <c r="L9" s="179" t="s">
        <v>11</v>
      </c>
      <c r="M9" s="178" t="s">
        <v>12</v>
      </c>
      <c r="N9" s="18">
        <v>3000</v>
      </c>
      <c r="O9" s="177">
        <v>3000</v>
      </c>
      <c r="X9" s="68" t="s">
        <v>56</v>
      </c>
      <c r="AA9" s="63"/>
    </row>
    <row r="10" spans="12:27" x14ac:dyDescent="0.25">
      <c r="L10" s="179" t="s">
        <v>13</v>
      </c>
      <c r="M10" s="178"/>
      <c r="N10" s="18">
        <v>2000</v>
      </c>
      <c r="O10" s="177">
        <v>2000</v>
      </c>
      <c r="X10" s="68" t="s">
        <v>57</v>
      </c>
      <c r="AA10" s="63"/>
    </row>
    <row r="11" spans="12:27" ht="15.75" thickBot="1" x14ac:dyDescent="0.3">
      <c r="L11" s="176" t="s">
        <v>14</v>
      </c>
      <c r="M11" s="175">
        <v>6.5000000000000002E-2</v>
      </c>
      <c r="N11" s="174">
        <v>6.5000000000000002E-2</v>
      </c>
      <c r="O11" s="173">
        <v>6.5000000000000002E-2</v>
      </c>
      <c r="X11" s="68"/>
      <c r="AA11" s="63"/>
    </row>
    <row r="12" spans="12:27" x14ac:dyDescent="0.25">
      <c r="X12" s="68"/>
      <c r="AA12" s="63"/>
    </row>
    <row r="13" spans="12:27" x14ac:dyDescent="0.25">
      <c r="X13" s="172" t="s">
        <v>24</v>
      </c>
      <c r="Y13" s="4" t="s">
        <v>28</v>
      </c>
      <c r="Z13" s="130">
        <f>S57</f>
        <v>935283.48553969001</v>
      </c>
      <c r="AA13" s="63"/>
    </row>
    <row r="14" spans="12:27" x14ac:dyDescent="0.25">
      <c r="X14" s="68"/>
      <c r="Y14" s="4" t="s">
        <v>17</v>
      </c>
      <c r="Z14" s="128">
        <v>6.5000000000000002E-2</v>
      </c>
      <c r="AA14" s="63"/>
    </row>
    <row r="15" spans="12:27" x14ac:dyDescent="0.25">
      <c r="X15" s="68"/>
      <c r="Y15" s="4" t="s">
        <v>19</v>
      </c>
      <c r="Z15" s="16">
        <v>40</v>
      </c>
      <c r="AA15" s="63"/>
    </row>
    <row r="16" spans="12:27" x14ac:dyDescent="0.25">
      <c r="X16" s="68"/>
      <c r="AA16" s="63"/>
    </row>
    <row r="17" spans="17:27" ht="15.75" thickBot="1" x14ac:dyDescent="0.3">
      <c r="X17" s="43"/>
      <c r="Y17" s="162" t="s">
        <v>58</v>
      </c>
      <c r="Z17" s="171">
        <f>Z13*(1+Z14)^Z15</f>
        <v>11612549.466556372</v>
      </c>
      <c r="AA17" s="40"/>
    </row>
    <row r="18" spans="17:27" ht="15.75" thickBot="1" x14ac:dyDescent="0.3"/>
    <row r="19" spans="17:27" ht="15.75" thickBot="1" x14ac:dyDescent="0.3">
      <c r="X19" s="112"/>
      <c r="Y19" s="111"/>
      <c r="Z19" s="111"/>
      <c r="AA19" s="110"/>
    </row>
    <row r="20" spans="17:27" x14ac:dyDescent="0.25">
      <c r="Q20" s="159" t="s">
        <v>99</v>
      </c>
      <c r="X20" s="68"/>
      <c r="AA20" s="63"/>
    </row>
    <row r="21" spans="17:27" x14ac:dyDescent="0.25">
      <c r="X21" s="68"/>
      <c r="AA21" s="63"/>
    </row>
    <row r="22" spans="17:27" x14ac:dyDescent="0.25">
      <c r="X22" s="68"/>
      <c r="AA22" s="63"/>
    </row>
    <row r="23" spans="17:27" x14ac:dyDescent="0.25">
      <c r="X23" s="68" t="s">
        <v>97</v>
      </c>
      <c r="AA23" s="63"/>
    </row>
    <row r="24" spans="17:27" x14ac:dyDescent="0.25">
      <c r="X24" s="68" t="s">
        <v>56</v>
      </c>
      <c r="AA24" s="63"/>
    </row>
    <row r="25" spans="17:27" x14ac:dyDescent="0.25">
      <c r="X25" s="68" t="s">
        <v>57</v>
      </c>
      <c r="AA25" s="63"/>
    </row>
    <row r="26" spans="17:27" x14ac:dyDescent="0.25">
      <c r="X26" s="68"/>
      <c r="AA26" s="63"/>
    </row>
    <row r="27" spans="17:27" x14ac:dyDescent="0.25">
      <c r="X27" s="68"/>
      <c r="AA27" s="63"/>
    </row>
    <row r="28" spans="17:27" x14ac:dyDescent="0.25">
      <c r="X28" s="131" t="s">
        <v>24</v>
      </c>
      <c r="Y28" s="4" t="s">
        <v>28</v>
      </c>
      <c r="Z28" s="130">
        <f>R118</f>
        <v>1384398.7603726266</v>
      </c>
      <c r="AA28" s="63"/>
    </row>
    <row r="29" spans="17:27" x14ac:dyDescent="0.25">
      <c r="X29" s="68"/>
      <c r="Y29" s="4" t="s">
        <v>17</v>
      </c>
      <c r="Z29" s="128">
        <v>6.5000000000000002E-2</v>
      </c>
      <c r="AA29" s="63"/>
    </row>
    <row r="30" spans="17:27" x14ac:dyDescent="0.25">
      <c r="X30" s="68"/>
      <c r="Y30" s="4" t="s">
        <v>19</v>
      </c>
      <c r="Z30" s="16">
        <v>38</v>
      </c>
      <c r="AA30" s="63"/>
    </row>
    <row r="31" spans="17:27" x14ac:dyDescent="0.25">
      <c r="X31" s="68"/>
      <c r="AA31" s="63"/>
    </row>
    <row r="32" spans="17:27" ht="15.75" thickBot="1" x14ac:dyDescent="0.3">
      <c r="Q32" s="159" t="s">
        <v>98</v>
      </c>
      <c r="X32" s="43"/>
      <c r="Y32" s="162" t="s">
        <v>58</v>
      </c>
      <c r="Z32" s="161">
        <f>Z28*(1+Z29)^Z30</f>
        <v>15154663.486596186</v>
      </c>
      <c r="AA32" s="40"/>
    </row>
    <row r="34" spans="17:27" ht="15.75" thickBot="1" x14ac:dyDescent="0.3"/>
    <row r="35" spans="17:27" ht="15.75" thickBot="1" x14ac:dyDescent="0.3">
      <c r="X35" s="112"/>
      <c r="Y35" s="111"/>
      <c r="Z35" s="111"/>
      <c r="AA35" s="110"/>
    </row>
    <row r="36" spans="17:27" x14ac:dyDescent="0.25">
      <c r="X36" s="68"/>
      <c r="AA36" s="63"/>
    </row>
    <row r="37" spans="17:27" x14ac:dyDescent="0.25">
      <c r="X37" s="68"/>
      <c r="AA37" s="63"/>
    </row>
    <row r="38" spans="17:27" x14ac:dyDescent="0.25">
      <c r="X38" s="68"/>
      <c r="AA38" s="63"/>
    </row>
    <row r="39" spans="17:27" x14ac:dyDescent="0.25">
      <c r="Q39" s="170"/>
      <c r="R39" s="82"/>
      <c r="S39" s="82"/>
      <c r="T39" s="82"/>
      <c r="U39" s="169"/>
      <c r="X39" s="68" t="s">
        <v>97</v>
      </c>
      <c r="AA39" s="63"/>
    </row>
    <row r="40" spans="17:27" x14ac:dyDescent="0.25">
      <c r="Q40" s="168"/>
      <c r="S40" s="3" t="s">
        <v>20</v>
      </c>
      <c r="U40" s="167"/>
      <c r="X40" s="68" t="s">
        <v>56</v>
      </c>
      <c r="AA40" s="63"/>
    </row>
    <row r="41" spans="17:27" x14ac:dyDescent="0.25">
      <c r="Q41" s="168"/>
      <c r="S41" s="3" t="s">
        <v>21</v>
      </c>
      <c r="U41" s="167"/>
      <c r="X41" s="68" t="s">
        <v>57</v>
      </c>
      <c r="AA41" s="63"/>
    </row>
    <row r="42" spans="17:27" x14ac:dyDescent="0.25">
      <c r="Q42" s="168"/>
      <c r="S42" s="3" t="s">
        <v>23</v>
      </c>
      <c r="U42" s="167"/>
      <c r="X42" s="68"/>
      <c r="AA42" s="63"/>
    </row>
    <row r="43" spans="17:27" x14ac:dyDescent="0.25">
      <c r="Q43" s="166"/>
      <c r="R43" s="78"/>
      <c r="S43" s="105" t="s">
        <v>22</v>
      </c>
      <c r="T43" s="78"/>
      <c r="U43" s="165"/>
      <c r="X43" s="68"/>
      <c r="Y43" s="9"/>
      <c r="AA43" s="63"/>
    </row>
    <row r="44" spans="17:27" ht="15.75" thickBot="1" x14ac:dyDescent="0.3">
      <c r="X44" s="164" t="s">
        <v>24</v>
      </c>
      <c r="Y44" s="4" t="s">
        <v>28</v>
      </c>
      <c r="Z44" s="130">
        <f>R176</f>
        <v>1216943.1566298802</v>
      </c>
      <c r="AA44" s="63"/>
    </row>
    <row r="45" spans="17:27" ht="15.75" thickBot="1" x14ac:dyDescent="0.3">
      <c r="Q45" s="156"/>
      <c r="R45" s="155"/>
      <c r="S45" s="155"/>
      <c r="T45" s="155"/>
      <c r="U45" s="154"/>
      <c r="X45" s="68"/>
      <c r="Y45" s="4" t="s">
        <v>17</v>
      </c>
      <c r="Z45" s="128">
        <v>6.5000000000000002E-2</v>
      </c>
      <c r="AA45" s="63"/>
    </row>
    <row r="46" spans="17:27" x14ac:dyDescent="0.25">
      <c r="Q46" s="68"/>
      <c r="U46" s="63"/>
      <c r="X46" s="68"/>
      <c r="Y46" s="4" t="s">
        <v>19</v>
      </c>
      <c r="Z46" s="16">
        <v>39</v>
      </c>
      <c r="AA46" s="63"/>
    </row>
    <row r="47" spans="17:27" x14ac:dyDescent="0.25">
      <c r="Q47" s="85" t="s">
        <v>24</v>
      </c>
      <c r="R47" s="4" t="s">
        <v>16</v>
      </c>
      <c r="S47" s="163">
        <v>60000</v>
      </c>
      <c r="U47" s="63"/>
      <c r="X47" s="68"/>
      <c r="AA47" s="63"/>
    </row>
    <row r="48" spans="17:27" ht="15.75" thickBot="1" x14ac:dyDescent="0.3">
      <c r="Q48" s="68"/>
      <c r="R48" s="4" t="s">
        <v>18</v>
      </c>
      <c r="S48" s="129">
        <v>0.03</v>
      </c>
      <c r="U48" s="63"/>
      <c r="X48" s="43"/>
      <c r="Y48" s="162" t="s">
        <v>58</v>
      </c>
      <c r="Z48" s="161">
        <f>Z44*(1+Z45)^Z46</f>
        <v>14187471.301348928</v>
      </c>
      <c r="AA48" s="40"/>
    </row>
    <row r="49" spans="17:27" x14ac:dyDescent="0.25">
      <c r="Q49" s="68"/>
      <c r="R49" s="4" t="s">
        <v>17</v>
      </c>
      <c r="S49" s="128">
        <v>6.5000000000000002E-2</v>
      </c>
      <c r="U49" s="63"/>
    </row>
    <row r="50" spans="17:27" x14ac:dyDescent="0.25">
      <c r="Q50" s="68"/>
      <c r="R50" s="4" t="s">
        <v>19</v>
      </c>
      <c r="S50" s="16">
        <v>40</v>
      </c>
      <c r="U50" s="63"/>
    </row>
    <row r="51" spans="17:27" x14ac:dyDescent="0.25">
      <c r="Q51" s="68"/>
      <c r="R51" s="4" t="s">
        <v>25</v>
      </c>
      <c r="S51" s="16">
        <v>0.26</v>
      </c>
      <c r="U51" s="63"/>
    </row>
    <row r="52" spans="17:27" x14ac:dyDescent="0.25">
      <c r="Q52" s="68"/>
      <c r="U52" s="63"/>
    </row>
    <row r="53" spans="17:27" x14ac:dyDescent="0.25">
      <c r="Q53" s="206" t="s">
        <v>1</v>
      </c>
      <c r="R53" s="207"/>
      <c r="S53" s="160">
        <v>60000</v>
      </c>
      <c r="U53" s="63"/>
    </row>
    <row r="54" spans="17:27" x14ac:dyDescent="0.25">
      <c r="Q54" s="206" t="s">
        <v>26</v>
      </c>
      <c r="R54" s="207"/>
      <c r="S54" s="160">
        <v>0.26</v>
      </c>
      <c r="U54" s="63"/>
    </row>
    <row r="55" spans="17:27" x14ac:dyDescent="0.25">
      <c r="Q55" s="208" t="s">
        <v>27</v>
      </c>
      <c r="R55" s="209"/>
      <c r="S55" s="86">
        <f>S53-(S53*S54)</f>
        <v>44400</v>
      </c>
      <c r="U55" s="63"/>
    </row>
    <row r="56" spans="17:27" x14ac:dyDescent="0.25">
      <c r="Q56" s="68"/>
      <c r="U56" s="63"/>
      <c r="X56" s="159" t="s">
        <v>59</v>
      </c>
    </row>
    <row r="57" spans="17:27" ht="15.75" thickBot="1" x14ac:dyDescent="0.3">
      <c r="Q57" s="43"/>
      <c r="R57" s="158" t="s">
        <v>28</v>
      </c>
      <c r="S57" s="157">
        <f>S55*((1-((1+S48)/(1+S49))^S50)/(S49-S48))</f>
        <v>935283.48553969001</v>
      </c>
      <c r="T57" s="41"/>
      <c r="U57" s="40"/>
    </row>
    <row r="58" spans="17:27" ht="15.75" thickBot="1" x14ac:dyDescent="0.3"/>
    <row r="59" spans="17:27" ht="15.75" thickBot="1" x14ac:dyDescent="0.3">
      <c r="Q59" s="156"/>
      <c r="R59" s="155"/>
      <c r="S59" s="155"/>
      <c r="T59" s="155"/>
      <c r="U59" s="154"/>
    </row>
    <row r="60" spans="17:27" ht="15.75" thickBot="1" x14ac:dyDescent="0.3">
      <c r="Q60" s="109" t="s">
        <v>29</v>
      </c>
      <c r="U60" s="63"/>
    </row>
    <row r="61" spans="17:27" x14ac:dyDescent="0.25">
      <c r="Q61" s="108" t="s">
        <v>24</v>
      </c>
      <c r="U61" s="63"/>
    </row>
    <row r="62" spans="17:27" x14ac:dyDescent="0.25">
      <c r="Q62" s="68"/>
      <c r="R62" t="s">
        <v>8</v>
      </c>
      <c r="S62" s="5">
        <v>65000</v>
      </c>
      <c r="U62" s="63"/>
    </row>
    <row r="63" spans="17:27" ht="15.75" thickBot="1" x14ac:dyDescent="0.3">
      <c r="Q63" s="68"/>
      <c r="R63" t="s">
        <v>30</v>
      </c>
      <c r="S63" s="5">
        <v>3000</v>
      </c>
      <c r="U63" s="63"/>
    </row>
    <row r="64" spans="17:27" x14ac:dyDescent="0.25">
      <c r="Q64" s="68"/>
      <c r="R64" t="s">
        <v>11</v>
      </c>
      <c r="S64" s="5">
        <v>3000</v>
      </c>
      <c r="U64" s="63"/>
      <c r="X64" s="138"/>
      <c r="Y64" s="137"/>
      <c r="Z64" s="137"/>
      <c r="AA64" s="136"/>
    </row>
    <row r="65" spans="17:27" x14ac:dyDescent="0.25">
      <c r="Q65" s="68"/>
      <c r="R65" t="s">
        <v>13</v>
      </c>
      <c r="S65" s="5">
        <v>2000</v>
      </c>
      <c r="U65" s="63"/>
      <c r="X65" s="84"/>
      <c r="Y65" s="82"/>
      <c r="Z65" s="82"/>
      <c r="AA65" s="81"/>
    </row>
    <row r="66" spans="17:27" x14ac:dyDescent="0.25">
      <c r="Q66" s="68"/>
      <c r="R66" s="3" t="s">
        <v>31</v>
      </c>
      <c r="S66" s="7">
        <f>SUM(S62:S65)</f>
        <v>73000</v>
      </c>
      <c r="U66" s="63"/>
      <c r="X66" s="153" t="s">
        <v>60</v>
      </c>
      <c r="Y66" s="152"/>
      <c r="Z66" s="152"/>
      <c r="AA66" s="151">
        <f>S57</f>
        <v>935283.48553969001</v>
      </c>
    </row>
    <row r="67" spans="17:27" x14ac:dyDescent="0.25">
      <c r="Q67" s="68"/>
      <c r="R67" s="3" t="s">
        <v>32</v>
      </c>
      <c r="S67" s="7">
        <f>S66*2</f>
        <v>146000</v>
      </c>
      <c r="U67" s="63"/>
      <c r="X67" s="150" t="s">
        <v>65</v>
      </c>
      <c r="Y67" s="149"/>
      <c r="Z67" s="149"/>
      <c r="AA67" s="148">
        <f>S73</f>
        <v>137089.20187793428</v>
      </c>
    </row>
    <row r="68" spans="17:27" x14ac:dyDescent="0.25">
      <c r="Q68" s="68"/>
      <c r="U68" s="63"/>
      <c r="X68" s="147" t="s">
        <v>66</v>
      </c>
      <c r="Y68" s="146"/>
      <c r="Z68" s="146"/>
      <c r="AA68" s="145">
        <f>S81</f>
        <v>82010.183164716</v>
      </c>
    </row>
    <row r="69" spans="17:27" x14ac:dyDescent="0.25">
      <c r="Q69" s="84"/>
      <c r="R69" s="82"/>
      <c r="S69" s="82"/>
      <c r="T69" s="82"/>
      <c r="U69" s="81"/>
      <c r="X69" s="144" t="s">
        <v>67</v>
      </c>
      <c r="Y69" s="143"/>
      <c r="Z69" s="143"/>
      <c r="AA69" s="142">
        <f>R91</f>
        <v>12166.898102228395</v>
      </c>
    </row>
    <row r="70" spans="17:27" x14ac:dyDescent="0.25">
      <c r="Q70" s="68"/>
      <c r="R70" s="3" t="s">
        <v>33</v>
      </c>
      <c r="U70" s="63"/>
      <c r="X70" s="68"/>
      <c r="AA70" s="63"/>
    </row>
    <row r="71" spans="17:27" x14ac:dyDescent="0.25">
      <c r="Q71" s="80"/>
      <c r="R71" s="105" t="s">
        <v>34</v>
      </c>
      <c r="S71" s="78"/>
      <c r="T71" s="78"/>
      <c r="U71" s="77"/>
      <c r="X71" s="68"/>
      <c r="Z71" s="4" t="s">
        <v>28</v>
      </c>
      <c r="AA71" s="141">
        <f>AA66+AA67+AA68-AA69</f>
        <v>1142215.972480112</v>
      </c>
    </row>
    <row r="72" spans="17:27" x14ac:dyDescent="0.25">
      <c r="Q72" s="68"/>
      <c r="U72" s="63"/>
      <c r="X72" s="68"/>
      <c r="AA72" s="63"/>
    </row>
    <row r="73" spans="17:27" ht="15.75" thickBot="1" x14ac:dyDescent="0.3">
      <c r="Q73" s="102" t="s">
        <v>36</v>
      </c>
      <c r="R73" s="101"/>
      <c r="S73" s="73">
        <f>S67/(1+S49)</f>
        <v>137089.20187793428</v>
      </c>
      <c r="U73" s="63"/>
      <c r="X73" s="43"/>
      <c r="Y73" s="41"/>
      <c r="Z73" s="41"/>
      <c r="AA73" s="40"/>
    </row>
    <row r="74" spans="17:27" x14ac:dyDescent="0.25">
      <c r="Q74" s="140"/>
      <c r="S74" s="6"/>
      <c r="U74" s="63"/>
      <c r="X74" s="126"/>
      <c r="Y74" s="125"/>
      <c r="Z74" s="125"/>
      <c r="AA74" s="132"/>
    </row>
    <row r="75" spans="17:27" x14ac:dyDescent="0.25">
      <c r="Q75" s="84"/>
      <c r="R75" s="82"/>
      <c r="S75" s="82"/>
      <c r="T75" s="82"/>
      <c r="U75" s="81"/>
      <c r="X75" s="68"/>
      <c r="AA75" s="63"/>
    </row>
    <row r="76" spans="17:27" x14ac:dyDescent="0.25">
      <c r="Q76" s="68"/>
      <c r="U76" s="63"/>
      <c r="X76" s="68"/>
      <c r="AA76" s="63"/>
    </row>
    <row r="77" spans="17:27" x14ac:dyDescent="0.25">
      <c r="Q77" s="68"/>
      <c r="S77" s="3" t="s">
        <v>96</v>
      </c>
      <c r="U77" s="63"/>
      <c r="X77" s="68"/>
      <c r="Y77" s="4" t="s">
        <v>28</v>
      </c>
      <c r="Z77" t="s">
        <v>61</v>
      </c>
      <c r="AA77" s="63"/>
    </row>
    <row r="78" spans="17:27" x14ac:dyDescent="0.25">
      <c r="Q78" s="68"/>
      <c r="S78" s="3" t="s">
        <v>23</v>
      </c>
      <c r="U78" s="63"/>
      <c r="X78" s="68"/>
      <c r="Y78" s="4" t="s">
        <v>16</v>
      </c>
      <c r="Z78" s="3" t="s">
        <v>62</v>
      </c>
      <c r="AA78" s="63"/>
    </row>
    <row r="79" spans="17:27" x14ac:dyDescent="0.25">
      <c r="Q79" s="80"/>
      <c r="R79" s="78"/>
      <c r="S79" s="105" t="s">
        <v>35</v>
      </c>
      <c r="T79" s="78"/>
      <c r="U79" s="77"/>
      <c r="X79" s="68"/>
      <c r="Y79" s="4" t="s">
        <v>17</v>
      </c>
      <c r="Z79" t="s">
        <v>47</v>
      </c>
      <c r="AA79" s="63"/>
    </row>
    <row r="80" spans="17:27" x14ac:dyDescent="0.25">
      <c r="Q80" s="68"/>
      <c r="U80" s="63"/>
      <c r="X80" s="68"/>
      <c r="Y80" s="4" t="s">
        <v>18</v>
      </c>
      <c r="Z80" t="s">
        <v>63</v>
      </c>
      <c r="AA80" s="63"/>
    </row>
    <row r="81" spans="17:27" ht="15.75" thickBot="1" x14ac:dyDescent="0.3">
      <c r="Q81" s="102" t="s">
        <v>43</v>
      </c>
      <c r="R81" s="101"/>
      <c r="S81" s="73">
        <f>((S55/(1+0.065))+((S55*(1+0.03))/((1+0.065)^2)))</f>
        <v>82010.183164716</v>
      </c>
      <c r="U81" s="63"/>
      <c r="X81" s="68"/>
      <c r="Y81" s="139" t="s">
        <v>19</v>
      </c>
      <c r="Z81" s="41" t="s">
        <v>49</v>
      </c>
      <c r="AA81" s="63"/>
    </row>
    <row r="82" spans="17:27" ht="15.75" thickBot="1" x14ac:dyDescent="0.3">
      <c r="Q82" s="68"/>
      <c r="U82" s="63"/>
      <c r="X82" s="43"/>
      <c r="AA82" s="40"/>
    </row>
    <row r="83" spans="17:27" ht="15.75" thickBot="1" x14ac:dyDescent="0.3">
      <c r="Q83" s="100" t="s">
        <v>37</v>
      </c>
      <c r="U83" s="63"/>
      <c r="X83" s="138"/>
      <c r="Y83" s="137"/>
      <c r="Z83" s="137"/>
      <c r="AA83" s="136"/>
    </row>
    <row r="84" spans="17:27" ht="15.75" thickBot="1" x14ac:dyDescent="0.3">
      <c r="Q84" s="68"/>
      <c r="R84" s="83" t="s">
        <v>16</v>
      </c>
      <c r="S84" s="82" t="s">
        <v>38</v>
      </c>
      <c r="T84" s="82"/>
      <c r="U84" s="81"/>
      <c r="X84" s="135"/>
      <c r="Y84" s="134"/>
      <c r="Z84" s="134"/>
      <c r="AA84" s="133"/>
    </row>
    <row r="85" spans="17:27" x14ac:dyDescent="0.25">
      <c r="Q85" s="80"/>
      <c r="R85" s="79" t="s">
        <v>17</v>
      </c>
      <c r="S85" s="78" t="s">
        <v>39</v>
      </c>
      <c r="T85" s="78"/>
      <c r="U85" s="77"/>
      <c r="X85" s="126"/>
      <c r="Y85" s="125"/>
      <c r="Z85" s="125"/>
      <c r="AA85" s="132"/>
    </row>
    <row r="86" spans="17:27" x14ac:dyDescent="0.25">
      <c r="Q86" s="68"/>
      <c r="U86" s="63"/>
      <c r="X86" s="68"/>
      <c r="AA86" s="63"/>
    </row>
    <row r="87" spans="17:27" x14ac:dyDescent="0.25">
      <c r="Q87" s="203" t="s">
        <v>40</v>
      </c>
      <c r="R87" s="204"/>
      <c r="S87" s="94">
        <v>20000</v>
      </c>
      <c r="U87" s="63"/>
      <c r="X87" s="131" t="s">
        <v>24</v>
      </c>
      <c r="AA87" s="63"/>
    </row>
    <row r="88" spans="17:27" x14ac:dyDescent="0.25">
      <c r="Q88" s="203" t="s">
        <v>41</v>
      </c>
      <c r="R88" s="204"/>
      <c r="S88" s="90">
        <v>0.31</v>
      </c>
      <c r="U88" s="63"/>
      <c r="X88" s="68"/>
      <c r="Y88" s="4" t="s">
        <v>28</v>
      </c>
      <c r="Z88" s="130">
        <f>AA71</f>
        <v>1142215.972480112</v>
      </c>
      <c r="AA88" s="63"/>
    </row>
    <row r="89" spans="17:27" x14ac:dyDescent="0.25">
      <c r="Q89" s="201" t="s">
        <v>42</v>
      </c>
      <c r="R89" s="202"/>
      <c r="S89" s="86">
        <f>S87-(S87*S88)</f>
        <v>13800</v>
      </c>
      <c r="U89" s="63"/>
      <c r="X89" s="68"/>
      <c r="Y89" s="4" t="s">
        <v>16</v>
      </c>
      <c r="Z89" s="16" t="s">
        <v>62</v>
      </c>
      <c r="AA89" s="63"/>
    </row>
    <row r="90" spans="17:27" x14ac:dyDescent="0.25">
      <c r="Q90" s="68"/>
      <c r="U90" s="63"/>
      <c r="X90" s="68"/>
      <c r="Y90" s="4" t="s">
        <v>18</v>
      </c>
      <c r="Z90" s="129">
        <v>0.04</v>
      </c>
      <c r="AA90" s="63"/>
    </row>
    <row r="91" spans="17:27" x14ac:dyDescent="0.25">
      <c r="Q91" s="102" t="s">
        <v>44</v>
      </c>
      <c r="R91" s="73">
        <f>S89/((1+N11)^2)</f>
        <v>12166.898102228395</v>
      </c>
      <c r="U91" s="63"/>
      <c r="X91" s="68"/>
      <c r="Y91" s="4" t="s">
        <v>17</v>
      </c>
      <c r="Z91" s="128">
        <v>6.5000000000000002E-2</v>
      </c>
      <c r="AA91" s="63"/>
    </row>
    <row r="92" spans="17:27" ht="15.75" thickBot="1" x14ac:dyDescent="0.3">
      <c r="Q92" s="68"/>
      <c r="U92" s="63"/>
      <c r="X92" s="68"/>
      <c r="Y92" s="4" t="s">
        <v>19</v>
      </c>
      <c r="Z92" s="16">
        <v>38</v>
      </c>
      <c r="AA92" s="63"/>
    </row>
    <row r="93" spans="17:27" ht="15.75" thickBot="1" x14ac:dyDescent="0.3">
      <c r="Q93" s="100" t="s">
        <v>45</v>
      </c>
      <c r="U93" s="63"/>
      <c r="X93" s="68"/>
      <c r="AA93" s="63"/>
    </row>
    <row r="94" spans="17:27" x14ac:dyDescent="0.25">
      <c r="Q94" s="68"/>
      <c r="U94" s="63"/>
      <c r="X94" s="68"/>
      <c r="AA94" s="63"/>
    </row>
    <row r="95" spans="17:27" x14ac:dyDescent="0.25">
      <c r="Q95" s="203" t="s">
        <v>1</v>
      </c>
      <c r="R95" s="204"/>
      <c r="S95" s="94">
        <v>110000</v>
      </c>
      <c r="U95" s="63"/>
      <c r="X95" s="68"/>
      <c r="AA95" s="63"/>
    </row>
    <row r="96" spans="17:27" x14ac:dyDescent="0.25">
      <c r="Q96" s="203" t="s">
        <v>26</v>
      </c>
      <c r="R96" s="204"/>
      <c r="S96" s="90">
        <v>0.31</v>
      </c>
      <c r="U96" s="63"/>
      <c r="X96" s="68"/>
      <c r="AA96" s="63"/>
    </row>
    <row r="97" spans="17:31" x14ac:dyDescent="0.25">
      <c r="Q97" s="201" t="s">
        <v>27</v>
      </c>
      <c r="R97" s="202"/>
      <c r="S97" s="86">
        <f>S95-(S95*S96)</f>
        <v>75900</v>
      </c>
      <c r="U97" s="63"/>
      <c r="X97" s="68"/>
      <c r="AA97" s="63"/>
    </row>
    <row r="98" spans="17:31" x14ac:dyDescent="0.25">
      <c r="Q98" s="68"/>
      <c r="U98" s="63"/>
      <c r="X98" s="68"/>
      <c r="AA98" s="63"/>
    </row>
    <row r="99" spans="17:31" x14ac:dyDescent="0.25">
      <c r="Q99" s="84"/>
      <c r="R99" s="83" t="s">
        <v>16</v>
      </c>
      <c r="S99" s="82" t="s">
        <v>46</v>
      </c>
      <c r="T99" s="82"/>
      <c r="U99" s="81"/>
      <c r="X99" s="68"/>
      <c r="AA99" s="63"/>
    </row>
    <row r="100" spans="17:31" x14ac:dyDescent="0.25">
      <c r="Q100" s="68"/>
      <c r="R100" s="4" t="s">
        <v>18</v>
      </c>
      <c r="S100" t="s">
        <v>47</v>
      </c>
      <c r="U100" s="63"/>
      <c r="X100" s="68"/>
      <c r="Y100" s="74" t="s">
        <v>16</v>
      </c>
      <c r="Z100" s="127">
        <f>Z88/((1-(((1+Z90)/(1+Z91))^Z92))/(Z91-Z90))</f>
        <v>48031.947806295713</v>
      </c>
      <c r="AA100" s="63"/>
    </row>
    <row r="101" spans="17:31" ht="15.75" thickBot="1" x14ac:dyDescent="0.3">
      <c r="Q101" s="68"/>
      <c r="R101" s="4" t="s">
        <v>17</v>
      </c>
      <c r="S101" t="s">
        <v>48</v>
      </c>
      <c r="U101" s="63"/>
      <c r="X101" s="68"/>
      <c r="AA101" s="63"/>
    </row>
    <row r="102" spans="17:31" x14ac:dyDescent="0.25">
      <c r="Q102" s="80"/>
      <c r="R102" s="79" t="s">
        <v>19</v>
      </c>
      <c r="S102" s="78" t="s">
        <v>49</v>
      </c>
      <c r="T102" s="78"/>
      <c r="U102" s="77"/>
      <c r="X102" s="126" t="s">
        <v>1</v>
      </c>
      <c r="Y102" s="125"/>
      <c r="Z102" s="125"/>
      <c r="AA102" s="124">
        <f>Z100</f>
        <v>48031.947806295713</v>
      </c>
    </row>
    <row r="103" spans="17:31" x14ac:dyDescent="0.25">
      <c r="Q103" s="68"/>
      <c r="U103" s="63"/>
      <c r="X103" s="68" t="s">
        <v>26</v>
      </c>
      <c r="AA103" s="123">
        <v>0.26</v>
      </c>
    </row>
    <row r="104" spans="17:31" ht="15.75" thickBot="1" x14ac:dyDescent="0.3">
      <c r="Q104" s="85" t="s">
        <v>24</v>
      </c>
      <c r="R104" s="4" t="s">
        <v>16</v>
      </c>
      <c r="S104" s="5">
        <v>75900</v>
      </c>
      <c r="U104" s="63"/>
      <c r="X104" s="122" t="s">
        <v>27</v>
      </c>
      <c r="Y104" s="121"/>
      <c r="Z104" s="121"/>
      <c r="AA104" s="120">
        <f>AA102-(AA102*AA103)</f>
        <v>35543.641376658823</v>
      </c>
    </row>
    <row r="105" spans="17:31" x14ac:dyDescent="0.25">
      <c r="Q105" s="68"/>
      <c r="R105" s="4" t="s">
        <v>18</v>
      </c>
      <c r="S105" s="1">
        <v>0.04</v>
      </c>
      <c r="U105" s="63"/>
    </row>
    <row r="106" spans="17:31" x14ac:dyDescent="0.25">
      <c r="Q106" s="68"/>
      <c r="R106" s="4" t="s">
        <v>17</v>
      </c>
      <c r="S106" s="2">
        <v>6.5000000000000002E-2</v>
      </c>
      <c r="U106" s="63"/>
    </row>
    <row r="107" spans="17:31" x14ac:dyDescent="0.25">
      <c r="Q107" s="68"/>
      <c r="R107" s="4" t="s">
        <v>19</v>
      </c>
      <c r="S107">
        <v>38</v>
      </c>
      <c r="U107" s="63"/>
    </row>
    <row r="108" spans="17:31" x14ac:dyDescent="0.25">
      <c r="Q108" s="68"/>
      <c r="U108" s="63"/>
    </row>
    <row r="109" spans="17:31" x14ac:dyDescent="0.25">
      <c r="Q109" s="119" t="s">
        <v>50</v>
      </c>
      <c r="R109" s="101"/>
      <c r="S109" s="73">
        <f>S104*((1-((1+S105)/(1+S106))^S107)/(S106-S105))</f>
        <v>1804927.6839836421</v>
      </c>
      <c r="U109" s="63"/>
    </row>
    <row r="110" spans="17:31" x14ac:dyDescent="0.25">
      <c r="Q110" s="68"/>
      <c r="U110" s="63"/>
    </row>
    <row r="111" spans="17:31" ht="15.75" thickBot="1" x14ac:dyDescent="0.3">
      <c r="Q111" s="84"/>
      <c r="R111" s="83" t="s">
        <v>16</v>
      </c>
      <c r="S111" s="82" t="s">
        <v>51</v>
      </c>
      <c r="T111" s="82"/>
      <c r="U111" s="81"/>
      <c r="X111" s="118" t="s">
        <v>64</v>
      </c>
    </row>
    <row r="112" spans="17:31" x14ac:dyDescent="0.25">
      <c r="Q112" s="80"/>
      <c r="R112" s="79" t="s">
        <v>17</v>
      </c>
      <c r="S112" s="78" t="s">
        <v>39</v>
      </c>
      <c r="T112" s="78"/>
      <c r="U112" s="77"/>
      <c r="X112" s="93"/>
      <c r="Y112" s="92"/>
      <c r="Z112" s="92"/>
      <c r="AA112" s="92"/>
      <c r="AB112" s="92"/>
      <c r="AC112" s="92"/>
      <c r="AD112" s="92"/>
      <c r="AE112" s="91"/>
    </row>
    <row r="113" spans="10:31" ht="15.75" thickBot="1" x14ac:dyDescent="0.3">
      <c r="Q113" s="68"/>
      <c r="U113" s="63"/>
      <c r="X113" s="89"/>
      <c r="Y113" s="88"/>
      <c r="Z113" s="88"/>
      <c r="AA113" s="88"/>
      <c r="AB113" s="88"/>
      <c r="AC113" s="88"/>
      <c r="AD113" s="88"/>
      <c r="AE113" s="87"/>
    </row>
    <row r="114" spans="10:31" ht="18.75" x14ac:dyDescent="0.3">
      <c r="Q114" s="68"/>
      <c r="R114" s="117" t="s">
        <v>28</v>
      </c>
      <c r="S114" s="116">
        <f>S109/(1+S106)^2</f>
        <v>1591331.2473130485</v>
      </c>
      <c r="U114" s="63"/>
      <c r="X114" s="115"/>
      <c r="Y114" s="72" t="s">
        <v>68</v>
      </c>
      <c r="Z114" s="72"/>
      <c r="AA114" s="107"/>
      <c r="AB114" s="10"/>
      <c r="AC114" s="25"/>
      <c r="AD114" s="25"/>
      <c r="AE114" s="63"/>
    </row>
    <row r="115" spans="10:31" ht="21.75" thickBot="1" x14ac:dyDescent="0.4">
      <c r="Q115" s="68"/>
      <c r="U115" s="63"/>
      <c r="X115" s="46"/>
      <c r="Y115" s="11"/>
      <c r="Z115" s="11"/>
      <c r="AA115" s="11"/>
      <c r="AB115" s="10"/>
      <c r="AC115" s="25"/>
      <c r="AD115" s="25"/>
      <c r="AE115" s="63"/>
    </row>
    <row r="116" spans="10:31" ht="15.75" thickBot="1" x14ac:dyDescent="0.3">
      <c r="Q116" s="71" t="s">
        <v>52</v>
      </c>
      <c r="R116" s="70"/>
      <c r="S116" s="70"/>
      <c r="T116" s="70"/>
      <c r="U116" s="69"/>
      <c r="X116" s="46"/>
      <c r="Y116" s="10"/>
      <c r="Z116" s="67" t="s">
        <v>69</v>
      </c>
      <c r="AA116" s="10"/>
      <c r="AB116" s="66">
        <v>146000</v>
      </c>
      <c r="AC116" s="10"/>
      <c r="AD116" s="10"/>
      <c r="AE116" s="63"/>
    </row>
    <row r="117" spans="10:31" x14ac:dyDescent="0.25">
      <c r="Q117" s="68"/>
      <c r="U117" s="63"/>
      <c r="X117" s="46"/>
      <c r="Y117" s="10"/>
      <c r="Z117" s="62" t="s">
        <v>70</v>
      </c>
      <c r="AA117" s="10"/>
      <c r="AB117" s="61">
        <v>146000</v>
      </c>
      <c r="AC117" s="12" t="s">
        <v>71</v>
      </c>
      <c r="AD117" s="45">
        <v>0</v>
      </c>
      <c r="AE117" s="63"/>
    </row>
    <row r="118" spans="10:31" ht="15.75" thickBot="1" x14ac:dyDescent="0.3">
      <c r="Q118" s="114" t="s">
        <v>53</v>
      </c>
      <c r="R118" s="113">
        <f>S114-S73-S81+R91</f>
        <v>1384398.7603726266</v>
      </c>
      <c r="S118" s="41"/>
      <c r="T118" s="41"/>
      <c r="U118" s="40"/>
      <c r="X118" s="46"/>
      <c r="Y118" s="10"/>
      <c r="Z118" s="60" t="s">
        <v>72</v>
      </c>
      <c r="AA118" s="10"/>
      <c r="AB118" s="60">
        <v>5.4000000000000048E-2</v>
      </c>
      <c r="AC118" s="10"/>
      <c r="AD118" s="10"/>
      <c r="AE118" s="63"/>
    </row>
    <row r="119" spans="10:31" ht="15.75" thickBot="1" x14ac:dyDescent="0.3">
      <c r="X119" s="46"/>
      <c r="Y119" s="10"/>
      <c r="Z119" s="59" t="s">
        <v>73</v>
      </c>
      <c r="AA119" s="10"/>
      <c r="AB119" s="58">
        <v>5</v>
      </c>
      <c r="AC119" s="10"/>
      <c r="AD119" s="10"/>
      <c r="AE119" s="63"/>
    </row>
    <row r="120" spans="10:31" ht="15.75" thickBot="1" x14ac:dyDescent="0.3">
      <c r="Q120" s="112"/>
      <c r="R120" s="111"/>
      <c r="S120" s="111"/>
      <c r="T120" s="111"/>
      <c r="U120" s="110"/>
      <c r="X120" s="46"/>
      <c r="Y120" s="10"/>
      <c r="Z120" s="57" t="s">
        <v>74</v>
      </c>
      <c r="AA120" s="10"/>
      <c r="AB120" s="56">
        <v>34096.057085920649</v>
      </c>
      <c r="AC120" s="10"/>
      <c r="AD120" s="10"/>
      <c r="AE120" s="63"/>
    </row>
    <row r="121" spans="10:31" ht="15.75" thickBot="1" x14ac:dyDescent="0.3">
      <c r="J121" s="3"/>
      <c r="Q121" s="109" t="s">
        <v>29</v>
      </c>
      <c r="U121" s="63"/>
      <c r="X121" s="46"/>
      <c r="Y121" s="10"/>
      <c r="Z121" s="10"/>
      <c r="AA121" s="10"/>
      <c r="AB121" s="10"/>
      <c r="AC121" s="10"/>
      <c r="AD121" s="10"/>
      <c r="AE121" s="63"/>
    </row>
    <row r="122" spans="10:31" ht="19.5" thickBot="1" x14ac:dyDescent="0.35">
      <c r="L122" s="5"/>
      <c r="Q122" s="108" t="s">
        <v>24</v>
      </c>
      <c r="U122" s="63"/>
      <c r="X122" s="46"/>
      <c r="Y122" s="104" t="s">
        <v>75</v>
      </c>
      <c r="Z122" s="104" t="s">
        <v>76</v>
      </c>
      <c r="AA122" s="104" t="s">
        <v>77</v>
      </c>
      <c r="AB122" s="104" t="s">
        <v>72</v>
      </c>
      <c r="AC122" s="104" t="s">
        <v>78</v>
      </c>
      <c r="AD122" s="103" t="s">
        <v>79</v>
      </c>
      <c r="AE122" s="63"/>
    </row>
    <row r="123" spans="10:31" x14ac:dyDescent="0.25">
      <c r="L123" s="5"/>
      <c r="Q123" s="68"/>
      <c r="R123" t="s">
        <v>8</v>
      </c>
      <c r="S123" s="5">
        <v>80000</v>
      </c>
      <c r="U123" s="63"/>
      <c r="X123" s="46"/>
      <c r="Y123" s="76">
        <v>0</v>
      </c>
      <c r="Z123" s="52"/>
      <c r="AA123" s="52"/>
      <c r="AB123" s="52"/>
      <c r="AC123" s="52"/>
      <c r="AD123" s="51">
        <f>AB117</f>
        <v>146000</v>
      </c>
      <c r="AE123" s="44"/>
    </row>
    <row r="124" spans="10:31" x14ac:dyDescent="0.25">
      <c r="L124" s="5"/>
      <c r="Q124" s="68"/>
      <c r="R124" t="s">
        <v>30</v>
      </c>
      <c r="S124" s="5">
        <v>4500</v>
      </c>
      <c r="U124" s="63"/>
      <c r="X124" s="46"/>
      <c r="Y124" s="76">
        <v>1</v>
      </c>
      <c r="Z124" s="52">
        <v>146000</v>
      </c>
      <c r="AA124" s="52">
        <v>34096.057085920649</v>
      </c>
      <c r="AB124" s="52">
        <v>7884.0000000000073</v>
      </c>
      <c r="AC124" s="52">
        <v>26212.057085920642</v>
      </c>
      <c r="AD124" s="51">
        <v>119787.94291407935</v>
      </c>
      <c r="AE124" s="44"/>
    </row>
    <row r="125" spans="10:31" x14ac:dyDescent="0.25">
      <c r="L125" s="5"/>
      <c r="Q125" s="68"/>
      <c r="R125" t="s">
        <v>11</v>
      </c>
      <c r="S125" s="5">
        <v>3000</v>
      </c>
      <c r="U125" s="63"/>
      <c r="X125" s="46"/>
      <c r="Y125" s="76">
        <v>2</v>
      </c>
      <c r="Z125" s="52">
        <v>119787.94291407935</v>
      </c>
      <c r="AA125" s="52">
        <v>34096.057085920649</v>
      </c>
      <c r="AB125" s="52">
        <v>6468.5489173602909</v>
      </c>
      <c r="AC125" s="52">
        <v>27627.508168560358</v>
      </c>
      <c r="AD125" s="51">
        <v>92160.434745518985</v>
      </c>
      <c r="AE125" s="44"/>
    </row>
    <row r="126" spans="10:31" x14ac:dyDescent="0.25">
      <c r="K126" s="3"/>
      <c r="L126" s="7"/>
      <c r="Q126" s="68"/>
      <c r="R126" t="s">
        <v>13</v>
      </c>
      <c r="S126" s="5">
        <v>2000</v>
      </c>
      <c r="U126" s="63"/>
      <c r="X126" s="46"/>
      <c r="Y126" s="76">
        <v>3</v>
      </c>
      <c r="Z126" s="52">
        <v>92160.434745518985</v>
      </c>
      <c r="AA126" s="52">
        <v>34096.057085920649</v>
      </c>
      <c r="AB126" s="52">
        <v>4976.6634762580297</v>
      </c>
      <c r="AC126" s="52">
        <v>29119.39360966262</v>
      </c>
      <c r="AD126" s="51">
        <v>63041.041135856365</v>
      </c>
      <c r="AE126" s="44"/>
    </row>
    <row r="127" spans="10:31" x14ac:dyDescent="0.25">
      <c r="K127" s="3"/>
      <c r="L127" s="7"/>
      <c r="Q127" s="68"/>
      <c r="R127" s="3" t="s">
        <v>31</v>
      </c>
      <c r="S127" s="7">
        <f>SUM(S123:S126)</f>
        <v>89500</v>
      </c>
      <c r="U127" s="63"/>
      <c r="X127" s="46"/>
      <c r="Y127" s="76">
        <v>4</v>
      </c>
      <c r="Z127" s="52">
        <v>63041.041135856365</v>
      </c>
      <c r="AA127" s="52">
        <v>34096.057085920649</v>
      </c>
      <c r="AB127" s="52">
        <v>3404.2162213362467</v>
      </c>
      <c r="AC127" s="52">
        <v>30691.840864584403</v>
      </c>
      <c r="AD127" s="51">
        <v>32349.200271271962</v>
      </c>
      <c r="AE127" s="44"/>
    </row>
    <row r="128" spans="10:31" ht="15.75" thickBot="1" x14ac:dyDescent="0.3">
      <c r="Q128" s="68"/>
      <c r="R128" s="3"/>
      <c r="S128" s="7"/>
      <c r="U128" s="63"/>
      <c r="X128" s="46"/>
      <c r="Y128" s="75">
        <v>5</v>
      </c>
      <c r="Z128" s="49">
        <v>32349.200271271962</v>
      </c>
      <c r="AA128" s="49">
        <v>34096.057085920649</v>
      </c>
      <c r="AB128" s="49">
        <v>1746.8568146486875</v>
      </c>
      <c r="AC128" s="49">
        <v>32349.200271271962</v>
      </c>
      <c r="AD128" s="48">
        <v>0</v>
      </c>
      <c r="AE128" s="44"/>
    </row>
    <row r="129" spans="10:31" x14ac:dyDescent="0.25">
      <c r="Q129" s="84"/>
      <c r="R129" s="82"/>
      <c r="S129" s="82"/>
      <c r="T129" s="82"/>
      <c r="U129" s="81"/>
      <c r="X129" s="46"/>
      <c r="Y129" s="10"/>
      <c r="Z129" s="45"/>
      <c r="AA129" s="45"/>
      <c r="AB129" s="47">
        <f>SUM(AB124:AB128)</f>
        <v>24480.28542960326</v>
      </c>
      <c r="AC129" s="45"/>
      <c r="AD129" s="45"/>
      <c r="AE129" s="44"/>
    </row>
    <row r="130" spans="10:31" x14ac:dyDescent="0.25">
      <c r="K130" s="3"/>
      <c r="Q130" s="68"/>
      <c r="R130" s="3" t="s">
        <v>33</v>
      </c>
      <c r="U130" s="63"/>
      <c r="X130" s="46"/>
      <c r="Y130" s="10"/>
      <c r="Z130" s="45"/>
      <c r="AA130" s="45"/>
      <c r="AB130" s="45"/>
      <c r="AC130" s="45"/>
      <c r="AD130" s="45"/>
      <c r="AE130" s="44"/>
    </row>
    <row r="131" spans="10:31" ht="18.75" x14ac:dyDescent="0.3">
      <c r="K131" s="3"/>
      <c r="Q131" s="80"/>
      <c r="R131" s="105" t="s">
        <v>34</v>
      </c>
      <c r="S131" s="78"/>
      <c r="T131" s="78"/>
      <c r="U131" s="77"/>
      <c r="X131" s="46"/>
      <c r="Y131" s="72" t="s">
        <v>68</v>
      </c>
      <c r="Z131" s="72"/>
      <c r="AA131" s="107"/>
      <c r="AB131" s="10"/>
      <c r="AC131" s="107"/>
      <c r="AD131" s="107"/>
      <c r="AE131" s="44"/>
    </row>
    <row r="132" spans="10:31" ht="14.25" customHeight="1" thickBot="1" x14ac:dyDescent="0.4">
      <c r="Q132" s="68"/>
      <c r="U132" s="63"/>
      <c r="X132" s="46"/>
      <c r="Y132" s="11"/>
      <c r="Z132" s="11"/>
      <c r="AA132" s="11"/>
      <c r="AB132" s="10"/>
      <c r="AC132" s="25"/>
      <c r="AD132" s="25"/>
      <c r="AE132" s="44"/>
    </row>
    <row r="133" spans="10:31" x14ac:dyDescent="0.25">
      <c r="J133" s="3"/>
      <c r="L133" s="6"/>
      <c r="Q133" s="106" t="s">
        <v>28</v>
      </c>
      <c r="R133" s="73">
        <f>S127/(1+S106)</f>
        <v>84037.558685446013</v>
      </c>
      <c r="U133" s="63"/>
      <c r="X133" s="46"/>
      <c r="Y133" s="10"/>
      <c r="Z133" s="67" t="s">
        <v>69</v>
      </c>
      <c r="AA133" s="10"/>
      <c r="AB133" s="66">
        <v>146000</v>
      </c>
      <c r="AC133" s="10"/>
      <c r="AD133" s="10"/>
      <c r="AE133" s="44"/>
    </row>
    <row r="134" spans="10:31" x14ac:dyDescent="0.25">
      <c r="J134" s="3"/>
      <c r="L134" s="6"/>
      <c r="Q134" s="84"/>
      <c r="R134" s="82"/>
      <c r="S134" s="82"/>
      <c r="T134" s="82"/>
      <c r="U134" s="81"/>
      <c r="X134" s="46"/>
      <c r="Y134" s="10"/>
      <c r="Z134" s="62" t="s">
        <v>70</v>
      </c>
      <c r="AA134" s="10"/>
      <c r="AB134" s="61">
        <v>146000</v>
      </c>
      <c r="AC134" s="12" t="s">
        <v>71</v>
      </c>
      <c r="AD134" s="45">
        <v>0</v>
      </c>
      <c r="AE134" s="44"/>
    </row>
    <row r="135" spans="10:31" x14ac:dyDescent="0.25">
      <c r="J135" s="3"/>
      <c r="L135" s="6"/>
      <c r="Q135" s="68"/>
      <c r="U135" s="63"/>
      <c r="X135" s="46"/>
      <c r="Y135" s="10"/>
      <c r="Z135" s="60" t="s">
        <v>72</v>
      </c>
      <c r="AA135" s="10"/>
      <c r="AB135" s="60">
        <v>5.4000000000000048E-2</v>
      </c>
      <c r="AC135" s="10"/>
      <c r="AD135" s="10"/>
      <c r="AE135" s="44"/>
    </row>
    <row r="136" spans="10:31" x14ac:dyDescent="0.25">
      <c r="J136" s="3"/>
      <c r="L136" s="6"/>
      <c r="Q136" s="68"/>
      <c r="S136" s="3" t="s">
        <v>96</v>
      </c>
      <c r="U136" s="63"/>
      <c r="X136" s="46"/>
      <c r="Y136" s="10"/>
      <c r="Z136" s="59" t="s">
        <v>73</v>
      </c>
      <c r="AA136" s="10"/>
      <c r="AB136" s="58">
        <v>10</v>
      </c>
      <c r="AC136" s="10"/>
      <c r="AD136" s="10"/>
      <c r="AE136" s="44"/>
    </row>
    <row r="137" spans="10:31" ht="15.75" thickBot="1" x14ac:dyDescent="0.3">
      <c r="J137" s="3"/>
      <c r="L137" s="6"/>
      <c r="Q137" s="68"/>
      <c r="S137" s="3" t="s">
        <v>23</v>
      </c>
      <c r="U137" s="63"/>
      <c r="X137" s="46"/>
      <c r="Y137" s="10"/>
      <c r="Z137" s="57" t="s">
        <v>74</v>
      </c>
      <c r="AA137" s="10"/>
      <c r="AB137" s="56">
        <v>19276.694766044708</v>
      </c>
      <c r="AC137" s="10"/>
      <c r="AD137" s="10"/>
      <c r="AE137" s="44"/>
    </row>
    <row r="138" spans="10:31" ht="15.75" thickBot="1" x14ac:dyDescent="0.3">
      <c r="J138" s="3"/>
      <c r="L138" s="6"/>
      <c r="Q138" s="80"/>
      <c r="R138" s="78"/>
      <c r="S138" s="105" t="s">
        <v>35</v>
      </c>
      <c r="T138" s="78"/>
      <c r="U138" s="77"/>
      <c r="X138" s="46"/>
      <c r="Y138" s="10"/>
      <c r="Z138" s="10"/>
      <c r="AA138" s="10"/>
      <c r="AB138" s="10"/>
      <c r="AC138" s="10"/>
      <c r="AD138" s="10"/>
      <c r="AE138" s="44"/>
    </row>
    <row r="139" spans="10:31" ht="19.5" thickBot="1" x14ac:dyDescent="0.35">
      <c r="J139" s="3"/>
      <c r="L139" s="6"/>
      <c r="Q139" s="68"/>
      <c r="U139" s="63"/>
      <c r="X139" s="46"/>
      <c r="Y139" s="104" t="s">
        <v>75</v>
      </c>
      <c r="Z139" s="104" t="s">
        <v>76</v>
      </c>
      <c r="AA139" s="104" t="s">
        <v>77</v>
      </c>
      <c r="AB139" s="104" t="s">
        <v>72</v>
      </c>
      <c r="AC139" s="104" t="s">
        <v>78</v>
      </c>
      <c r="AD139" s="103" t="s">
        <v>79</v>
      </c>
      <c r="AE139" s="44"/>
    </row>
    <row r="140" spans="10:31" ht="15.75" thickBot="1" x14ac:dyDescent="0.3">
      <c r="J140" s="3"/>
      <c r="L140" s="6"/>
      <c r="Q140" s="102" t="s">
        <v>43</v>
      </c>
      <c r="R140" s="101"/>
      <c r="S140" s="73">
        <f>(S55/(1+0.065))+((S55*(1+0.03))/((1+0.065)))</f>
        <v>84630.985915492958</v>
      </c>
      <c r="U140" s="63"/>
      <c r="X140" s="46"/>
      <c r="Y140" s="76">
        <v>0</v>
      </c>
      <c r="Z140" s="52"/>
      <c r="AA140" s="52"/>
      <c r="AB140" s="52"/>
      <c r="AC140" s="52"/>
      <c r="AD140" s="51">
        <f>AB134</f>
        <v>146000</v>
      </c>
      <c r="AE140" s="44"/>
    </row>
    <row r="141" spans="10:31" ht="15.75" thickBot="1" x14ac:dyDescent="0.3">
      <c r="J141" s="3"/>
      <c r="L141" s="6"/>
      <c r="Q141" s="100" t="s">
        <v>37</v>
      </c>
      <c r="S141" s="6"/>
      <c r="U141" s="63"/>
      <c r="X141" s="46"/>
      <c r="Y141" s="76">
        <v>1</v>
      </c>
      <c r="Z141" s="52">
        <v>146000</v>
      </c>
      <c r="AA141" s="52">
        <v>19276.694766044708</v>
      </c>
      <c r="AB141" s="52">
        <v>7884.0000000000073</v>
      </c>
      <c r="AC141" s="52">
        <v>11392.6947660447</v>
      </c>
      <c r="AD141" s="51">
        <v>134607.3052339553</v>
      </c>
      <c r="AE141" s="44"/>
    </row>
    <row r="142" spans="10:31" x14ac:dyDescent="0.25">
      <c r="Q142" s="68"/>
      <c r="R142" s="83" t="s">
        <v>16</v>
      </c>
      <c r="S142" s="82" t="s">
        <v>38</v>
      </c>
      <c r="T142" s="82"/>
      <c r="U142" s="81"/>
      <c r="X142" s="46"/>
      <c r="Y142" s="76">
        <v>2</v>
      </c>
      <c r="Z142" s="52">
        <v>134607.3052339553</v>
      </c>
      <c r="AA142" s="52">
        <v>19276.694766044708</v>
      </c>
      <c r="AB142" s="52">
        <v>7268.7944826335925</v>
      </c>
      <c r="AC142" s="52">
        <v>12007.900283411116</v>
      </c>
      <c r="AD142" s="51">
        <v>122599.40495054418</v>
      </c>
      <c r="AE142" s="44"/>
    </row>
    <row r="143" spans="10:31" x14ac:dyDescent="0.25">
      <c r="Q143" s="80"/>
      <c r="R143" s="79" t="s">
        <v>17</v>
      </c>
      <c r="S143" s="78" t="s">
        <v>39</v>
      </c>
      <c r="T143" s="78"/>
      <c r="U143" s="77"/>
      <c r="X143" s="46"/>
      <c r="Y143" s="76">
        <v>3</v>
      </c>
      <c r="Z143" s="52">
        <v>122599.40495054418</v>
      </c>
      <c r="AA143" s="52">
        <v>19276.694766044708</v>
      </c>
      <c r="AB143" s="52">
        <v>6620.3678673293916</v>
      </c>
      <c r="AC143" s="52">
        <v>12656.326898715317</v>
      </c>
      <c r="AD143" s="51">
        <v>109943.07805182887</v>
      </c>
      <c r="AE143" s="44"/>
    </row>
    <row r="144" spans="10:31" x14ac:dyDescent="0.25">
      <c r="L144" s="3"/>
      <c r="Q144" s="68"/>
      <c r="U144" s="63"/>
      <c r="X144" s="46"/>
      <c r="Y144" s="76">
        <v>4</v>
      </c>
      <c r="Z144" s="52">
        <v>109943.07805182887</v>
      </c>
      <c r="AA144" s="52">
        <v>19276.694766044708</v>
      </c>
      <c r="AB144" s="52">
        <v>5936.9262147987638</v>
      </c>
      <c r="AC144" s="52">
        <v>13339.768551245943</v>
      </c>
      <c r="AD144" s="51">
        <v>96603.309500582924</v>
      </c>
      <c r="AE144" s="44"/>
    </row>
    <row r="145" spans="10:31" x14ac:dyDescent="0.25">
      <c r="L145" s="3"/>
      <c r="Q145" s="203" t="s">
        <v>40</v>
      </c>
      <c r="R145" s="204"/>
      <c r="S145" s="94">
        <v>18000</v>
      </c>
      <c r="U145" s="63"/>
      <c r="X145" s="46"/>
      <c r="Y145" s="76">
        <v>5</v>
      </c>
      <c r="Z145" s="52">
        <v>96603.309500582924</v>
      </c>
      <c r="AA145" s="52">
        <v>19276.694766044708</v>
      </c>
      <c r="AB145" s="52">
        <v>5216.5787130314829</v>
      </c>
      <c r="AC145" s="52">
        <v>14060.116053013226</v>
      </c>
      <c r="AD145" s="51">
        <v>82543.193447569705</v>
      </c>
      <c r="AE145" s="44"/>
    </row>
    <row r="146" spans="10:31" x14ac:dyDescent="0.25">
      <c r="L146" s="3"/>
      <c r="Q146" s="203" t="s">
        <v>41</v>
      </c>
      <c r="R146" s="204"/>
      <c r="S146" s="90">
        <v>0.28999999999999998</v>
      </c>
      <c r="U146" s="63"/>
      <c r="X146" s="46"/>
      <c r="Y146" s="76">
        <v>6</v>
      </c>
      <c r="Z146" s="52">
        <v>82543.193447569705</v>
      </c>
      <c r="AA146" s="52">
        <v>19276.694766044708</v>
      </c>
      <c r="AB146" s="52">
        <v>4457.332446168768</v>
      </c>
      <c r="AC146" s="52">
        <v>14819.36231987594</v>
      </c>
      <c r="AD146" s="51">
        <v>67723.83112769376</v>
      </c>
      <c r="AE146" s="44"/>
    </row>
    <row r="147" spans="10:31" x14ac:dyDescent="0.25">
      <c r="Q147" s="201" t="s">
        <v>42</v>
      </c>
      <c r="R147" s="202"/>
      <c r="S147" s="86">
        <f>S145-(S145*S146)</f>
        <v>12780</v>
      </c>
      <c r="U147" s="63"/>
      <c r="X147" s="46"/>
      <c r="Y147" s="76">
        <v>7</v>
      </c>
      <c r="Z147" s="52">
        <v>67723.83112769376</v>
      </c>
      <c r="AA147" s="52">
        <v>19276.694766044708</v>
      </c>
      <c r="AB147" s="52">
        <v>3657.0868808954665</v>
      </c>
      <c r="AC147" s="52">
        <v>15619.607885149242</v>
      </c>
      <c r="AD147" s="51">
        <v>52104.223242544518</v>
      </c>
      <c r="AE147" s="44"/>
    </row>
    <row r="148" spans="10:31" x14ac:dyDescent="0.25">
      <c r="J148" s="3"/>
      <c r="L148" s="6"/>
      <c r="Q148" s="68"/>
      <c r="U148" s="63"/>
      <c r="X148" s="46"/>
      <c r="Y148" s="76">
        <v>8</v>
      </c>
      <c r="Z148" s="52">
        <v>52104.223242544518</v>
      </c>
      <c r="AA148" s="52">
        <v>19276.694766044708</v>
      </c>
      <c r="AB148" s="52">
        <v>2813.6280550974066</v>
      </c>
      <c r="AC148" s="52">
        <v>16463.0667109473</v>
      </c>
      <c r="AD148" s="51">
        <v>35641.156531597218</v>
      </c>
      <c r="AE148" s="44"/>
    </row>
    <row r="149" spans="10:31" x14ac:dyDescent="0.25">
      <c r="Q149" s="102" t="s">
        <v>54</v>
      </c>
      <c r="R149" s="101"/>
      <c r="S149" s="73">
        <f>S147/(1+O11)</f>
        <v>12000</v>
      </c>
      <c r="U149" s="63"/>
      <c r="X149" s="46"/>
      <c r="Y149" s="76">
        <v>9</v>
      </c>
      <c r="Z149" s="52">
        <v>35641.156531597218</v>
      </c>
      <c r="AA149" s="52">
        <v>19276.694766044708</v>
      </c>
      <c r="AB149" s="52">
        <v>1924.6224527062516</v>
      </c>
      <c r="AC149" s="52">
        <v>17352.072313338456</v>
      </c>
      <c r="AD149" s="51">
        <v>18289.084218258762</v>
      </c>
      <c r="AE149" s="44"/>
    </row>
    <row r="150" spans="10:31" ht="15.75" thickBot="1" x14ac:dyDescent="0.3">
      <c r="Q150" s="68"/>
      <c r="U150" s="63"/>
      <c r="X150" s="46"/>
      <c r="Y150" s="75">
        <v>10</v>
      </c>
      <c r="Z150" s="49">
        <v>18289.084218258762</v>
      </c>
      <c r="AA150" s="49">
        <v>19276.694766044708</v>
      </c>
      <c r="AB150" s="49">
        <v>987.61054778597406</v>
      </c>
      <c r="AC150" s="49">
        <v>18289.084218258733</v>
      </c>
      <c r="AD150" s="48">
        <v>2.9103830456733704E-11</v>
      </c>
      <c r="AE150" s="44"/>
    </row>
    <row r="151" spans="10:31" ht="15.75" thickBot="1" x14ac:dyDescent="0.3">
      <c r="Q151" s="100" t="s">
        <v>45</v>
      </c>
      <c r="U151" s="63"/>
      <c r="X151" s="99"/>
      <c r="Y151" s="98"/>
      <c r="Z151" s="96"/>
      <c r="AA151" s="96"/>
      <c r="AB151" s="97">
        <f>SUM(AB141:AB150)</f>
        <v>46766.947660447106</v>
      </c>
      <c r="AC151" s="96"/>
      <c r="AD151" s="96"/>
      <c r="AE151" s="95"/>
    </row>
    <row r="152" spans="10:31" ht="15.75" thickBot="1" x14ac:dyDescent="0.3">
      <c r="Q152" s="68"/>
      <c r="U152" s="63"/>
    </row>
    <row r="153" spans="10:31" x14ac:dyDescent="0.25">
      <c r="Q153" s="203" t="s">
        <v>1</v>
      </c>
      <c r="R153" s="204"/>
      <c r="S153" s="94">
        <v>92000</v>
      </c>
      <c r="U153" s="63"/>
      <c r="X153" s="93"/>
      <c r="Y153" s="92"/>
      <c r="Z153" s="92"/>
      <c r="AA153" s="92"/>
      <c r="AB153" s="92"/>
      <c r="AC153" s="92"/>
      <c r="AD153" s="92"/>
      <c r="AE153" s="91"/>
    </row>
    <row r="154" spans="10:31" ht="15.75" thickBot="1" x14ac:dyDescent="0.3">
      <c r="Q154" s="203" t="s">
        <v>26</v>
      </c>
      <c r="R154" s="204"/>
      <c r="S154" s="90">
        <v>0.28999999999999998</v>
      </c>
      <c r="U154" s="63"/>
      <c r="X154" s="89"/>
      <c r="Y154" s="88"/>
      <c r="Z154" s="88"/>
      <c r="AA154" s="88"/>
      <c r="AB154" s="88"/>
      <c r="AC154" s="88"/>
      <c r="AD154" s="88"/>
      <c r="AE154" s="87"/>
    </row>
    <row r="155" spans="10:31" x14ac:dyDescent="0.25">
      <c r="Q155" s="201" t="s">
        <v>27</v>
      </c>
      <c r="R155" s="202"/>
      <c r="S155" s="86">
        <f>S153-(S153*S154)</f>
        <v>65320</v>
      </c>
      <c r="U155" s="63"/>
      <c r="X155" s="68"/>
      <c r="AE155" s="63"/>
    </row>
    <row r="156" spans="10:31" x14ac:dyDescent="0.25">
      <c r="Q156" s="68"/>
      <c r="U156" s="63"/>
      <c r="X156" s="46"/>
      <c r="Y156" s="10"/>
      <c r="Z156" s="10"/>
      <c r="AA156" s="10"/>
      <c r="AB156" s="10"/>
      <c r="AC156" s="10"/>
      <c r="AD156" s="10"/>
      <c r="AE156" s="44"/>
    </row>
    <row r="157" spans="10:31" ht="18.75" x14ac:dyDescent="0.3">
      <c r="Q157" s="84"/>
      <c r="R157" s="83" t="s">
        <v>16</v>
      </c>
      <c r="S157" s="82" t="s">
        <v>46</v>
      </c>
      <c r="T157" s="82"/>
      <c r="U157" s="81"/>
      <c r="X157" s="46"/>
      <c r="Y157" s="72" t="s">
        <v>68</v>
      </c>
      <c r="Z157" s="72"/>
      <c r="AA157" s="205"/>
      <c r="AB157" s="205"/>
      <c r="AC157" s="205"/>
      <c r="AD157" s="205"/>
      <c r="AE157" s="44"/>
    </row>
    <row r="158" spans="10:31" ht="21.75" thickBot="1" x14ac:dyDescent="0.4">
      <c r="Q158" s="68"/>
      <c r="R158" s="4" t="s">
        <v>18</v>
      </c>
      <c r="S158" t="s">
        <v>47</v>
      </c>
      <c r="U158" s="63"/>
      <c r="X158" s="46"/>
      <c r="Y158" s="11"/>
      <c r="Z158" s="11"/>
      <c r="AA158" s="11"/>
      <c r="AB158" s="10"/>
      <c r="AC158" s="25"/>
      <c r="AD158" s="25"/>
      <c r="AE158" s="44"/>
    </row>
    <row r="159" spans="10:31" x14ac:dyDescent="0.25">
      <c r="Q159" s="68"/>
      <c r="R159" s="4" t="s">
        <v>17</v>
      </c>
      <c r="S159" t="s">
        <v>48</v>
      </c>
      <c r="U159" s="63"/>
      <c r="X159" s="46"/>
      <c r="Y159" s="10"/>
      <c r="Z159" s="67" t="s">
        <v>69</v>
      </c>
      <c r="AA159" s="10"/>
      <c r="AB159" s="66">
        <v>89500</v>
      </c>
      <c r="AC159" s="10"/>
      <c r="AD159" s="10"/>
      <c r="AE159" s="44"/>
    </row>
    <row r="160" spans="10:31" x14ac:dyDescent="0.25">
      <c r="Q160" s="80"/>
      <c r="R160" s="79" t="s">
        <v>19</v>
      </c>
      <c r="S160" s="78" t="s">
        <v>49</v>
      </c>
      <c r="T160" s="78"/>
      <c r="U160" s="77"/>
      <c r="X160" s="46"/>
      <c r="Y160" s="10"/>
      <c r="Z160" s="62" t="s">
        <v>70</v>
      </c>
      <c r="AA160" s="10"/>
      <c r="AB160" s="61">
        <v>89500</v>
      </c>
      <c r="AC160" s="12" t="s">
        <v>71</v>
      </c>
      <c r="AD160" s="45">
        <v>0</v>
      </c>
      <c r="AE160" s="44"/>
    </row>
    <row r="161" spans="17:31" x14ac:dyDescent="0.25">
      <c r="Q161" s="68"/>
      <c r="U161" s="63"/>
      <c r="X161" s="46"/>
      <c r="Y161" s="10"/>
      <c r="Z161" s="60" t="s">
        <v>72</v>
      </c>
      <c r="AA161" s="10"/>
      <c r="AB161" s="60">
        <v>5.4000000000000048E-2</v>
      </c>
      <c r="AC161" s="10"/>
      <c r="AD161" s="10"/>
      <c r="AE161" s="44"/>
    </row>
    <row r="162" spans="17:31" x14ac:dyDescent="0.25">
      <c r="Q162" s="85" t="s">
        <v>24</v>
      </c>
      <c r="R162" s="4" t="s">
        <v>16</v>
      </c>
      <c r="S162" s="5">
        <f>S155</f>
        <v>65320</v>
      </c>
      <c r="U162" s="63"/>
      <c r="X162" s="46"/>
      <c r="Y162" s="10"/>
      <c r="Z162" s="59" t="s">
        <v>73</v>
      </c>
      <c r="AA162" s="10"/>
      <c r="AB162" s="58">
        <v>5</v>
      </c>
      <c r="AC162" s="10"/>
      <c r="AD162" s="10"/>
      <c r="AE162" s="44"/>
    </row>
    <row r="163" spans="17:31" ht="15.75" thickBot="1" x14ac:dyDescent="0.3">
      <c r="Q163" s="68"/>
      <c r="R163" s="4" t="s">
        <v>18</v>
      </c>
      <c r="S163" s="2">
        <v>3.5000000000000003E-2</v>
      </c>
      <c r="U163" s="63"/>
      <c r="X163" s="46"/>
      <c r="Y163" s="10"/>
      <c r="Z163" s="57" t="s">
        <v>74</v>
      </c>
      <c r="AA163" s="10"/>
      <c r="AB163" s="56">
        <v>20901.350062944508</v>
      </c>
      <c r="AC163" s="10"/>
      <c r="AD163" s="10"/>
      <c r="AE163" s="44"/>
    </row>
    <row r="164" spans="17:31" ht="15.75" thickBot="1" x14ac:dyDescent="0.3">
      <c r="Q164" s="68"/>
      <c r="R164" s="4" t="s">
        <v>17</v>
      </c>
      <c r="S164" s="2">
        <v>6.5000000000000002E-2</v>
      </c>
      <c r="U164" s="63"/>
      <c r="X164" s="46"/>
      <c r="Y164" s="10"/>
      <c r="Z164" s="10"/>
      <c r="AA164" s="10"/>
      <c r="AB164" s="10"/>
      <c r="AC164" s="10"/>
      <c r="AD164" s="10"/>
      <c r="AE164" s="44"/>
    </row>
    <row r="165" spans="17:31" ht="19.5" thickBot="1" x14ac:dyDescent="0.35">
      <c r="Q165" s="68"/>
      <c r="R165" s="4" t="s">
        <v>19</v>
      </c>
      <c r="S165">
        <v>39</v>
      </c>
      <c r="U165" s="63"/>
      <c r="X165" s="46"/>
      <c r="Y165" s="55" t="s">
        <v>75</v>
      </c>
      <c r="Z165" s="55" t="s">
        <v>76</v>
      </c>
      <c r="AA165" s="55" t="s">
        <v>77</v>
      </c>
      <c r="AB165" s="55" t="s">
        <v>72</v>
      </c>
      <c r="AC165" s="55" t="s">
        <v>78</v>
      </c>
      <c r="AD165" s="54" t="s">
        <v>79</v>
      </c>
      <c r="AE165" s="44"/>
    </row>
    <row r="166" spans="17:31" x14ac:dyDescent="0.25">
      <c r="Q166" s="68"/>
      <c r="U166" s="63"/>
      <c r="X166" s="46"/>
      <c r="Y166" s="76">
        <v>0</v>
      </c>
      <c r="Z166" s="52"/>
      <c r="AA166" s="52"/>
      <c r="AB166" s="52"/>
      <c r="AC166" s="52"/>
      <c r="AD166" s="51">
        <f>AB160</f>
        <v>89500</v>
      </c>
      <c r="AE166" s="44"/>
    </row>
    <row r="167" spans="17:31" x14ac:dyDescent="0.25">
      <c r="Q167" s="68"/>
      <c r="R167" s="74" t="s">
        <v>28</v>
      </c>
      <c r="S167" s="73">
        <f>S162*((1-((1+S163)/(1+S164))^S165)/(S164-S163))</f>
        <v>1462896.4618108224</v>
      </c>
      <c r="U167" s="63"/>
      <c r="X167" s="46"/>
      <c r="Y167" s="76">
        <v>1</v>
      </c>
      <c r="Z167" s="52">
        <v>89500</v>
      </c>
      <c r="AA167" s="52">
        <v>20901.350062944508</v>
      </c>
      <c r="AB167" s="52">
        <v>4833.0000000000045</v>
      </c>
      <c r="AC167" s="52">
        <v>16068.350062944504</v>
      </c>
      <c r="AD167" s="51">
        <v>73431.649937055496</v>
      </c>
      <c r="AE167" s="44"/>
    </row>
    <row r="168" spans="17:31" x14ac:dyDescent="0.25">
      <c r="Q168" s="68"/>
      <c r="U168" s="63"/>
      <c r="X168" s="46"/>
      <c r="Y168" s="76">
        <v>2</v>
      </c>
      <c r="Z168" s="52">
        <v>73431.649937055496</v>
      </c>
      <c r="AA168" s="52">
        <v>20901.350062944508</v>
      </c>
      <c r="AB168" s="52">
        <v>3965.3090966010004</v>
      </c>
      <c r="AC168" s="52">
        <v>16936.040966343506</v>
      </c>
      <c r="AD168" s="51">
        <v>56495.60897071199</v>
      </c>
      <c r="AE168" s="44"/>
    </row>
    <row r="169" spans="17:31" x14ac:dyDescent="0.25">
      <c r="Q169" s="84"/>
      <c r="R169" s="83" t="s">
        <v>16</v>
      </c>
      <c r="S169" s="82" t="s">
        <v>51</v>
      </c>
      <c r="T169" s="82"/>
      <c r="U169" s="81"/>
      <c r="X169" s="46"/>
      <c r="Y169" s="76">
        <v>3</v>
      </c>
      <c r="Z169" s="52">
        <v>56495.60897071199</v>
      </c>
      <c r="AA169" s="52">
        <v>20901.350062944508</v>
      </c>
      <c r="AB169" s="52">
        <v>3050.7628844184501</v>
      </c>
      <c r="AC169" s="52">
        <v>17850.587178526057</v>
      </c>
      <c r="AD169" s="51">
        <v>38645.021792185929</v>
      </c>
      <c r="AE169" s="44"/>
    </row>
    <row r="170" spans="17:31" x14ac:dyDescent="0.25">
      <c r="Q170" s="80"/>
      <c r="R170" s="79" t="s">
        <v>17</v>
      </c>
      <c r="S170" s="78" t="s">
        <v>39</v>
      </c>
      <c r="T170" s="78"/>
      <c r="U170" s="77"/>
      <c r="X170" s="46"/>
      <c r="Y170" s="76">
        <v>4</v>
      </c>
      <c r="Z170" s="52">
        <v>38645.021792185929</v>
      </c>
      <c r="AA170" s="52">
        <v>20901.350062944508</v>
      </c>
      <c r="AB170" s="52">
        <v>2086.8311767780419</v>
      </c>
      <c r="AC170" s="52">
        <v>18814.518886166465</v>
      </c>
      <c r="AD170" s="51">
        <v>19830.502906019465</v>
      </c>
      <c r="AE170" s="44"/>
    </row>
    <row r="171" spans="17:31" ht="15.75" thickBot="1" x14ac:dyDescent="0.3">
      <c r="Q171" s="68"/>
      <c r="U171" s="63"/>
      <c r="X171" s="46"/>
      <c r="Y171" s="75">
        <v>5</v>
      </c>
      <c r="Z171" s="49">
        <v>19830.502906019465</v>
      </c>
      <c r="AA171" s="49">
        <v>20901.350062944508</v>
      </c>
      <c r="AB171" s="49">
        <v>1070.8471569250521</v>
      </c>
      <c r="AC171" s="49">
        <v>19830.502906019457</v>
      </c>
      <c r="AD171" s="48">
        <v>7.2759576141834259E-12</v>
      </c>
      <c r="AE171" s="44"/>
    </row>
    <row r="172" spans="17:31" x14ac:dyDescent="0.25">
      <c r="Q172" s="68"/>
      <c r="R172" s="74" t="s">
        <v>28</v>
      </c>
      <c r="S172" s="73">
        <f>S167/(1+S164)</f>
        <v>1373611.7012308191</v>
      </c>
      <c r="U172" s="63"/>
      <c r="X172" s="46"/>
      <c r="Y172" s="10"/>
      <c r="Z172" s="45"/>
      <c r="AA172" s="45"/>
      <c r="AB172" s="47">
        <f>SUM(AB167:AB171)</f>
        <v>15006.750314722551</v>
      </c>
      <c r="AC172" s="45"/>
      <c r="AD172" s="45"/>
      <c r="AE172" s="44"/>
    </row>
    <row r="173" spans="17:31" ht="19.5" thickBot="1" x14ac:dyDescent="0.35">
      <c r="Q173" s="68"/>
      <c r="U173" s="63"/>
      <c r="V173" s="10"/>
      <c r="W173" s="10"/>
      <c r="X173" s="46"/>
      <c r="Y173" s="72" t="s">
        <v>68</v>
      </c>
      <c r="Z173" s="72"/>
      <c r="AA173" s="10"/>
      <c r="AB173" s="10"/>
      <c r="AC173" s="205"/>
      <c r="AD173" s="205"/>
      <c r="AE173" s="44"/>
    </row>
    <row r="174" spans="17:31" ht="21.75" thickBot="1" x14ac:dyDescent="0.4">
      <c r="Q174" s="71" t="s">
        <v>95</v>
      </c>
      <c r="R174" s="70"/>
      <c r="S174" s="70"/>
      <c r="T174" s="70"/>
      <c r="U174" s="69"/>
      <c r="V174" s="10"/>
      <c r="W174" s="10"/>
      <c r="X174" s="46"/>
      <c r="Y174" s="11"/>
      <c r="Z174" s="11"/>
      <c r="AA174" s="11"/>
      <c r="AB174" s="10"/>
      <c r="AC174" s="25"/>
      <c r="AD174" s="25"/>
      <c r="AE174" s="44"/>
    </row>
    <row r="175" spans="17:31" x14ac:dyDescent="0.25">
      <c r="Q175" s="68"/>
      <c r="U175" s="63"/>
      <c r="X175" s="46"/>
      <c r="Y175" s="10"/>
      <c r="Z175" s="67" t="s">
        <v>69</v>
      </c>
      <c r="AA175" s="10"/>
      <c r="AB175" s="66">
        <v>89500</v>
      </c>
      <c r="AC175" s="10"/>
      <c r="AD175" s="10"/>
      <c r="AE175" s="44"/>
    </row>
    <row r="176" spans="17:31" x14ac:dyDescent="0.25">
      <c r="Q176" s="65" t="s">
        <v>53</v>
      </c>
      <c r="R176" s="64">
        <f>S172-R133-S140+S149</f>
        <v>1216943.1566298802</v>
      </c>
      <c r="U176" s="63"/>
      <c r="X176" s="46"/>
      <c r="Y176" s="10"/>
      <c r="Z176" s="62" t="s">
        <v>70</v>
      </c>
      <c r="AA176" s="10"/>
      <c r="AB176" s="61">
        <v>89500</v>
      </c>
      <c r="AC176" s="12" t="s">
        <v>71</v>
      </c>
      <c r="AD176" s="45">
        <v>0</v>
      </c>
      <c r="AE176" s="44"/>
    </row>
    <row r="177" spans="17:31" ht="15.75" thickBot="1" x14ac:dyDescent="0.3">
      <c r="Q177" s="43"/>
      <c r="R177" s="41"/>
      <c r="S177" s="41"/>
      <c r="T177" s="41"/>
      <c r="U177" s="40"/>
      <c r="X177" s="46"/>
      <c r="Y177" s="10"/>
      <c r="Z177" s="60" t="s">
        <v>72</v>
      </c>
      <c r="AA177" s="10"/>
      <c r="AB177" s="60">
        <v>5.4000000000000048E-2</v>
      </c>
      <c r="AC177" s="10"/>
      <c r="AD177" s="10"/>
      <c r="AE177" s="44"/>
    </row>
    <row r="178" spans="17:31" x14ac:dyDescent="0.25">
      <c r="X178" s="46"/>
      <c r="Y178" s="10"/>
      <c r="Z178" s="59" t="s">
        <v>73</v>
      </c>
      <c r="AA178" s="10"/>
      <c r="AB178" s="58">
        <v>10</v>
      </c>
      <c r="AC178" s="10"/>
      <c r="AD178" s="10"/>
      <c r="AE178" s="44"/>
    </row>
    <row r="179" spans="17:31" ht="15.75" thickBot="1" x14ac:dyDescent="0.3">
      <c r="X179" s="46"/>
      <c r="Y179" s="10"/>
      <c r="Z179" s="57" t="s">
        <v>74</v>
      </c>
      <c r="AA179" s="10"/>
      <c r="AB179" s="56">
        <v>11816.877955897269</v>
      </c>
      <c r="AC179" s="10"/>
      <c r="AD179" s="10"/>
      <c r="AE179" s="44"/>
    </row>
    <row r="180" spans="17:31" ht="15.75" thickBot="1" x14ac:dyDescent="0.3">
      <c r="X180" s="46"/>
      <c r="Y180" s="10"/>
      <c r="Z180" s="10"/>
      <c r="AA180" s="10"/>
      <c r="AB180" s="10"/>
      <c r="AC180" s="10"/>
      <c r="AD180" s="10"/>
      <c r="AE180" s="44"/>
    </row>
    <row r="181" spans="17:31" ht="19.5" thickBot="1" x14ac:dyDescent="0.35">
      <c r="X181" s="46"/>
      <c r="Y181" s="55" t="s">
        <v>75</v>
      </c>
      <c r="Z181" s="55" t="s">
        <v>76</v>
      </c>
      <c r="AA181" s="55" t="s">
        <v>77</v>
      </c>
      <c r="AB181" s="55" t="s">
        <v>72</v>
      </c>
      <c r="AC181" s="55" t="s">
        <v>78</v>
      </c>
      <c r="AD181" s="54" t="s">
        <v>79</v>
      </c>
      <c r="AE181" s="44"/>
    </row>
    <row r="182" spans="17:31" x14ac:dyDescent="0.25">
      <c r="X182" s="46"/>
      <c r="Y182" s="53">
        <v>0</v>
      </c>
      <c r="Z182" s="52"/>
      <c r="AA182" s="52"/>
      <c r="AB182" s="52"/>
      <c r="AC182" s="52"/>
      <c r="AD182" s="51">
        <f>AB176</f>
        <v>89500</v>
      </c>
      <c r="AE182" s="44"/>
    </row>
    <row r="183" spans="17:31" x14ac:dyDescent="0.25">
      <c r="X183" s="46"/>
      <c r="Y183" s="53">
        <v>1</v>
      </c>
      <c r="Z183" s="52">
        <v>89500</v>
      </c>
      <c r="AA183" s="52">
        <v>11816.877955897269</v>
      </c>
      <c r="AB183" s="52">
        <v>4833.0000000000045</v>
      </c>
      <c r="AC183" s="52">
        <v>6983.8779558972647</v>
      </c>
      <c r="AD183" s="51">
        <v>82516.12204410274</v>
      </c>
      <c r="AE183" s="44"/>
    </row>
    <row r="184" spans="17:31" x14ac:dyDescent="0.25">
      <c r="X184" s="46"/>
      <c r="Y184" s="53">
        <v>2</v>
      </c>
      <c r="Z184" s="52">
        <v>82516.12204410274</v>
      </c>
      <c r="AA184" s="52">
        <v>11816.877955897269</v>
      </c>
      <c r="AB184" s="52">
        <v>4455.8705903815517</v>
      </c>
      <c r="AC184" s="52">
        <v>7361.0073655157175</v>
      </c>
      <c r="AD184" s="51">
        <v>75155.114678587022</v>
      </c>
      <c r="AE184" s="44"/>
    </row>
    <row r="185" spans="17:31" x14ac:dyDescent="0.25">
      <c r="X185" s="46"/>
      <c r="Y185" s="53">
        <v>3</v>
      </c>
      <c r="Z185" s="52">
        <v>75155.114678587022</v>
      </c>
      <c r="AA185" s="52">
        <v>11816.877955897269</v>
      </c>
      <c r="AB185" s="52">
        <v>4058.3761926437028</v>
      </c>
      <c r="AC185" s="52">
        <v>7758.5017632535664</v>
      </c>
      <c r="AD185" s="51">
        <v>67396.612915333462</v>
      </c>
      <c r="AE185" s="44"/>
    </row>
    <row r="186" spans="17:31" x14ac:dyDescent="0.25">
      <c r="X186" s="46"/>
      <c r="Y186" s="53">
        <v>4</v>
      </c>
      <c r="Z186" s="52">
        <v>67396.612915333462</v>
      </c>
      <c r="AA186" s="52">
        <v>11816.877955897269</v>
      </c>
      <c r="AB186" s="52">
        <v>3639.41709742801</v>
      </c>
      <c r="AC186" s="52">
        <v>8177.4608584692596</v>
      </c>
      <c r="AD186" s="51">
        <v>59219.152056864201</v>
      </c>
      <c r="AE186" s="44"/>
    </row>
    <row r="187" spans="17:31" x14ac:dyDescent="0.25">
      <c r="X187" s="46"/>
      <c r="Y187" s="53">
        <v>5</v>
      </c>
      <c r="Z187" s="52">
        <v>59219.152056864201</v>
      </c>
      <c r="AA187" s="52">
        <v>11816.877955897269</v>
      </c>
      <c r="AB187" s="52">
        <v>3197.8342110706699</v>
      </c>
      <c r="AC187" s="52">
        <v>8619.0437448265984</v>
      </c>
      <c r="AD187" s="51">
        <v>50600.108312037599</v>
      </c>
      <c r="AE187" s="44"/>
    </row>
    <row r="188" spans="17:31" x14ac:dyDescent="0.25">
      <c r="X188" s="46"/>
      <c r="Y188" s="53">
        <v>6</v>
      </c>
      <c r="Z188" s="52">
        <v>50600.108312037599</v>
      </c>
      <c r="AA188" s="52">
        <v>11816.877955897269</v>
      </c>
      <c r="AB188" s="52">
        <v>2732.4058488500327</v>
      </c>
      <c r="AC188" s="52">
        <v>9084.4721070472369</v>
      </c>
      <c r="AD188" s="51">
        <v>41515.636204990362</v>
      </c>
      <c r="AE188" s="44"/>
    </row>
    <row r="189" spans="17:31" x14ac:dyDescent="0.25">
      <c r="X189" s="46"/>
      <c r="Y189" s="53">
        <v>7</v>
      </c>
      <c r="Z189" s="52">
        <v>41515.636204990362</v>
      </c>
      <c r="AA189" s="52">
        <v>11816.877955897269</v>
      </c>
      <c r="AB189" s="52">
        <v>2241.8443550694815</v>
      </c>
      <c r="AC189" s="52">
        <v>9575.0336008277882</v>
      </c>
      <c r="AD189" s="51">
        <v>31940.602604162574</v>
      </c>
      <c r="AE189" s="44"/>
    </row>
    <row r="190" spans="17:31" x14ac:dyDescent="0.25">
      <c r="X190" s="46"/>
      <c r="Y190" s="53">
        <v>8</v>
      </c>
      <c r="Z190" s="52">
        <v>31940.602604162574</v>
      </c>
      <c r="AA190" s="52">
        <v>11816.877955897269</v>
      </c>
      <c r="AB190" s="52">
        <v>1724.7925406247805</v>
      </c>
      <c r="AC190" s="52">
        <v>10092.08541527249</v>
      </c>
      <c r="AD190" s="51">
        <v>21848.517188890084</v>
      </c>
      <c r="AE190" s="44"/>
    </row>
    <row r="191" spans="17:31" x14ac:dyDescent="0.25">
      <c r="X191" s="46"/>
      <c r="Y191" s="53">
        <v>9</v>
      </c>
      <c r="Z191" s="52">
        <v>21848.517188890084</v>
      </c>
      <c r="AA191" s="52">
        <v>11816.877955897269</v>
      </c>
      <c r="AB191" s="52">
        <v>1179.8199282000655</v>
      </c>
      <c r="AC191" s="52">
        <v>10637.058027697203</v>
      </c>
      <c r="AD191" s="51">
        <v>11211.459161192881</v>
      </c>
      <c r="AE191" s="44"/>
    </row>
    <row r="192" spans="17:31" ht="15.75" thickBot="1" x14ac:dyDescent="0.3">
      <c r="X192" s="46"/>
      <c r="Y192" s="50">
        <v>10</v>
      </c>
      <c r="Z192" s="49">
        <v>11211.459161192881</v>
      </c>
      <c r="AA192" s="49">
        <v>11816.877955897269</v>
      </c>
      <c r="AB192" s="49">
        <v>605.41879470441609</v>
      </c>
      <c r="AC192" s="49">
        <v>11211.459161192854</v>
      </c>
      <c r="AD192" s="48">
        <v>2.7284841053187847E-11</v>
      </c>
      <c r="AE192" s="44"/>
    </row>
    <row r="193" spans="24:31" x14ac:dyDescent="0.25">
      <c r="X193" s="46"/>
      <c r="Y193" s="10"/>
      <c r="Z193" s="45"/>
      <c r="AA193" s="45"/>
      <c r="AB193" s="47">
        <f>SUM(AB183:AB192)</f>
        <v>28668.779558972717</v>
      </c>
      <c r="AC193" s="45"/>
      <c r="AD193" s="45"/>
      <c r="AE193" s="44"/>
    </row>
    <row r="194" spans="24:31" x14ac:dyDescent="0.25">
      <c r="X194" s="46"/>
      <c r="Y194" s="10"/>
      <c r="Z194" s="45"/>
      <c r="AA194" s="45"/>
      <c r="AB194" s="45"/>
      <c r="AC194" s="45"/>
      <c r="AD194" s="45"/>
      <c r="AE194" s="44"/>
    </row>
    <row r="195" spans="24:31" ht="15.75" thickBot="1" x14ac:dyDescent="0.3">
      <c r="X195" s="43"/>
      <c r="Y195" s="41"/>
      <c r="Z195" s="42"/>
      <c r="AA195" s="41"/>
      <c r="AB195" s="41"/>
      <c r="AC195" s="41"/>
      <c r="AD195" s="41"/>
      <c r="AE195" s="40"/>
    </row>
    <row r="196" spans="24:31" x14ac:dyDescent="0.25">
      <c r="Z196" s="4"/>
    </row>
    <row r="197" spans="24:31" x14ac:dyDescent="0.25">
      <c r="X197" t="s">
        <v>80</v>
      </c>
      <c r="Z197" s="4"/>
    </row>
    <row r="198" spans="24:31" x14ac:dyDescent="0.25">
      <c r="X198" t="s">
        <v>81</v>
      </c>
      <c r="Z198" s="4"/>
    </row>
    <row r="199" spans="24:31" x14ac:dyDescent="0.25">
      <c r="Z199" s="4"/>
    </row>
    <row r="200" spans="24:31" x14ac:dyDescent="0.25">
      <c r="Z200" s="4"/>
    </row>
    <row r="201" spans="24:31" x14ac:dyDescent="0.25">
      <c r="Z201" s="4"/>
    </row>
  </sheetData>
  <mergeCells count="18">
    <mergeCell ref="AC173:AD173"/>
    <mergeCell ref="AC157:AD157"/>
    <mergeCell ref="Q53:R53"/>
    <mergeCell ref="Q54:R54"/>
    <mergeCell ref="Q55:R55"/>
    <mergeCell ref="Q95:R95"/>
    <mergeCell ref="Q96:R96"/>
    <mergeCell ref="Q97:R97"/>
    <mergeCell ref="Q87:R87"/>
    <mergeCell ref="Q88:R88"/>
    <mergeCell ref="Q155:R155"/>
    <mergeCell ref="AA157:AB157"/>
    <mergeCell ref="Q89:R89"/>
    <mergeCell ref="Q145:R145"/>
    <mergeCell ref="Q146:R146"/>
    <mergeCell ref="Q147:R147"/>
    <mergeCell ref="Q153:R153"/>
    <mergeCell ref="Q154:R154"/>
  </mergeCells>
  <conditionalFormatting sqref="L2:L11">
    <cfRule type="colorScale" priority="1">
      <colorScale>
        <cfvo type="min"/>
        <cfvo type="max"/>
        <color rgb="FFF8696B"/>
        <color rgb="FFFCFCFF"/>
      </colorScale>
    </cfRule>
  </conditionalFormatting>
  <pageMargins left="0.7" right="0.7" top="0.75" bottom="0.75" header="0.3" footer="0.3"/>
  <pageSetup orientation="portrait"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4DF4C-023B-4132-B7B8-FF67F57F1947}">
  <sheetPr codeName="Hoja6">
    <tabColor theme="4" tint="0.39997558519241921"/>
  </sheetPr>
  <dimension ref="J1:O24"/>
  <sheetViews>
    <sheetView showGridLines="0" topLeftCell="D1" workbookViewId="0">
      <selection activeCell="L4" sqref="L4:L13"/>
    </sheetView>
  </sheetViews>
  <sheetFormatPr baseColWidth="10" defaultRowHeight="15" x14ac:dyDescent="0.25"/>
  <cols>
    <col min="11" max="11" width="11.42578125" style="15"/>
    <col min="12" max="12" width="17.28515625" bestFit="1" customWidth="1"/>
    <col min="13" max="13" width="17.28515625" customWidth="1"/>
    <col min="14" max="14" width="5" style="15" customWidth="1"/>
    <col min="15" max="15" width="21.7109375" bestFit="1" customWidth="1"/>
    <col min="16" max="16" width="18.7109375" bestFit="1" customWidth="1"/>
  </cols>
  <sheetData>
    <row r="1" spans="10:15" x14ac:dyDescent="0.25">
      <c r="K1" s="14" t="s">
        <v>15</v>
      </c>
      <c r="M1" s="15"/>
    </row>
    <row r="2" spans="10:15" ht="15.75" thickBot="1" x14ac:dyDescent="0.3">
      <c r="K2" s="8" t="s">
        <v>101</v>
      </c>
      <c r="M2" s="15"/>
    </row>
    <row r="3" spans="10:15" ht="15.75" thickBot="1" x14ac:dyDescent="0.3">
      <c r="J3" s="15"/>
      <c r="K3" s="198" t="s">
        <v>83</v>
      </c>
      <c r="L3" s="197" t="s">
        <v>84</v>
      </c>
      <c r="M3" s="15"/>
    </row>
    <row r="4" spans="10:15" ht="15.75" thickBot="1" x14ac:dyDescent="0.3">
      <c r="J4" s="15"/>
      <c r="K4" s="194">
        <v>0</v>
      </c>
      <c r="L4" s="196">
        <v>-400000000</v>
      </c>
      <c r="M4" s="195" t="s">
        <v>85</v>
      </c>
    </row>
    <row r="5" spans="10:15" x14ac:dyDescent="0.25">
      <c r="J5" s="15"/>
      <c r="K5" s="194">
        <v>1</v>
      </c>
      <c r="L5" s="193">
        <v>85000000</v>
      </c>
      <c r="M5" s="210" t="s">
        <v>100</v>
      </c>
      <c r="N5" s="211"/>
      <c r="O5" s="13"/>
    </row>
    <row r="6" spans="10:15" ht="15.75" thickBot="1" x14ac:dyDescent="0.3">
      <c r="J6" s="15"/>
      <c r="K6" s="194">
        <v>2</v>
      </c>
      <c r="L6" s="193">
        <v>90000000</v>
      </c>
      <c r="M6" s="212">
        <v>0.12</v>
      </c>
      <c r="N6" s="213"/>
      <c r="O6" s="13"/>
    </row>
    <row r="7" spans="10:15" x14ac:dyDescent="0.25">
      <c r="J7" s="15"/>
      <c r="K7" s="194">
        <v>3</v>
      </c>
      <c r="L7" s="193">
        <v>140000000</v>
      </c>
      <c r="M7" s="15"/>
      <c r="O7" s="13"/>
    </row>
    <row r="8" spans="10:15" x14ac:dyDescent="0.25">
      <c r="J8" s="15"/>
      <c r="K8" s="194">
        <v>4</v>
      </c>
      <c r="L8" s="193">
        <v>180000000</v>
      </c>
      <c r="M8" s="15"/>
    </row>
    <row r="9" spans="10:15" x14ac:dyDescent="0.25">
      <c r="J9" s="15"/>
      <c r="K9" s="194">
        <v>5</v>
      </c>
      <c r="L9" s="193">
        <v>195000000</v>
      </c>
      <c r="M9" s="15"/>
      <c r="O9" s="13"/>
    </row>
    <row r="10" spans="10:15" x14ac:dyDescent="0.25">
      <c r="J10" s="15"/>
      <c r="K10" s="194">
        <v>6</v>
      </c>
      <c r="L10" s="193">
        <v>130000000</v>
      </c>
      <c r="M10" s="15"/>
      <c r="O10" s="13"/>
    </row>
    <row r="11" spans="10:15" x14ac:dyDescent="0.25">
      <c r="J11" s="15"/>
      <c r="K11" s="194">
        <v>7</v>
      </c>
      <c r="L11" s="193">
        <v>95000000</v>
      </c>
      <c r="M11" s="15"/>
      <c r="O11" s="13"/>
    </row>
    <row r="12" spans="10:15" x14ac:dyDescent="0.25">
      <c r="J12" s="15"/>
      <c r="K12" s="194">
        <v>8</v>
      </c>
      <c r="L12" s="193">
        <v>60000000</v>
      </c>
      <c r="M12" s="15"/>
      <c r="O12" s="13"/>
    </row>
    <row r="13" spans="10:15" ht="15.75" thickBot="1" x14ac:dyDescent="0.3">
      <c r="J13" s="15"/>
      <c r="K13" s="192">
        <v>9</v>
      </c>
      <c r="L13" s="191">
        <v>-95000000</v>
      </c>
      <c r="M13" s="15"/>
      <c r="O13" s="13"/>
    </row>
    <row r="14" spans="10:15" x14ac:dyDescent="0.25">
      <c r="J14" s="15"/>
      <c r="L14" s="15"/>
      <c r="M14" s="15"/>
    </row>
    <row r="15" spans="10:15" x14ac:dyDescent="0.25">
      <c r="L15" s="17"/>
      <c r="M15" s="15"/>
    </row>
    <row r="16" spans="10:15" x14ac:dyDescent="0.25">
      <c r="L16" s="6"/>
    </row>
    <row r="17" spans="11:12" x14ac:dyDescent="0.25">
      <c r="L17" s="19"/>
    </row>
    <row r="18" spans="11:12" x14ac:dyDescent="0.25">
      <c r="L18" s="1"/>
    </row>
    <row r="23" spans="11:12" x14ac:dyDescent="0.25">
      <c r="K23" s="16"/>
    </row>
    <row r="24" spans="11:12" x14ac:dyDescent="0.25">
      <c r="K24" s="16"/>
    </row>
  </sheetData>
  <mergeCells count="2">
    <mergeCell ref="M5:N5"/>
    <mergeCell ref="M6:N6"/>
  </mergeCells>
  <pageMargins left="0.7" right="0.7" top="0.75" bottom="0.75" header="0.3" footer="0.3"/>
  <pageSetup orientation="portrait" verticalDpi="3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BEF5F-6D42-4D1E-AA38-70D8762C37B6}">
  <sheetPr codeName="Hoja3"/>
  <dimension ref="A1:C1004"/>
  <sheetViews>
    <sheetView tabSelected="1" workbookViewId="0">
      <selection activeCell="E19" sqref="E19"/>
    </sheetView>
  </sheetViews>
  <sheetFormatPr baseColWidth="10" defaultRowHeight="15" x14ac:dyDescent="0.25"/>
  <cols>
    <col min="1" max="1" width="8" style="23" bestFit="1" customWidth="1"/>
    <col min="2" max="2" width="43.42578125" style="22" customWidth="1"/>
    <col min="3" max="3" width="16.7109375" style="199" customWidth="1"/>
    <col min="4" max="4" width="11.42578125" style="199"/>
    <col min="5" max="5" width="11.85546875" style="199" bestFit="1" customWidth="1"/>
    <col min="6" max="16384" width="11.42578125" style="199"/>
  </cols>
  <sheetData>
    <row r="1" spans="1:3" ht="45.75" customHeight="1" x14ac:dyDescent="0.45">
      <c r="A1" s="214" t="s">
        <v>86</v>
      </c>
      <c r="B1" s="24" t="s">
        <v>87</v>
      </c>
    </row>
    <row r="2" spans="1:3" ht="6" hidden="1" customHeight="1" x14ac:dyDescent="0.25">
      <c r="A2" s="215"/>
      <c r="B2" s="20"/>
    </row>
    <row r="3" spans="1:3" ht="15.75" thickBot="1" x14ac:dyDescent="0.3">
      <c r="A3" s="216"/>
      <c r="B3" s="21" t="s">
        <v>84</v>
      </c>
    </row>
    <row r="4" spans="1:3" x14ac:dyDescent="0.25">
      <c r="A4" s="23">
        <v>0</v>
      </c>
      <c r="B4" s="23">
        <v>-400000000</v>
      </c>
    </row>
    <row r="5" spans="1:3" x14ac:dyDescent="0.25">
      <c r="A5" s="23">
        <v>1</v>
      </c>
      <c r="B5" s="26">
        <v>85000000</v>
      </c>
      <c r="C5" s="200"/>
    </row>
    <row r="6" spans="1:3" x14ac:dyDescent="0.25">
      <c r="A6" s="23">
        <v>2</v>
      </c>
      <c r="B6" s="26">
        <v>90000000</v>
      </c>
      <c r="C6" s="200"/>
    </row>
    <row r="7" spans="1:3" x14ac:dyDescent="0.25">
      <c r="A7" s="23">
        <v>3</v>
      </c>
      <c r="B7" s="26">
        <v>140000000</v>
      </c>
      <c r="C7" s="200"/>
    </row>
    <row r="8" spans="1:3" x14ac:dyDescent="0.25">
      <c r="A8" s="23">
        <v>4</v>
      </c>
      <c r="B8" s="26">
        <v>180000000</v>
      </c>
      <c r="C8" s="200"/>
    </row>
    <row r="9" spans="1:3" x14ac:dyDescent="0.25">
      <c r="A9" s="23">
        <v>5</v>
      </c>
      <c r="B9" s="26">
        <v>195000000</v>
      </c>
      <c r="C9" s="200"/>
    </row>
    <row r="10" spans="1:3" x14ac:dyDescent="0.25">
      <c r="A10" s="23">
        <v>6</v>
      </c>
      <c r="B10" s="26">
        <v>130000000</v>
      </c>
      <c r="C10" s="200"/>
    </row>
    <row r="11" spans="1:3" x14ac:dyDescent="0.25">
      <c r="A11" s="23">
        <v>7</v>
      </c>
      <c r="B11" s="26">
        <v>95000000</v>
      </c>
      <c r="C11" s="200"/>
    </row>
    <row r="12" spans="1:3" x14ac:dyDescent="0.25">
      <c r="A12" s="23">
        <v>8</v>
      </c>
      <c r="B12" s="26">
        <v>60000000</v>
      </c>
      <c r="C12" s="200"/>
    </row>
    <row r="13" spans="1:3" x14ac:dyDescent="0.25">
      <c r="A13" s="23">
        <v>9</v>
      </c>
      <c r="B13" s="22">
        <v>-95000000</v>
      </c>
    </row>
    <row r="14" spans="1:3" x14ac:dyDescent="0.25">
      <c r="A14" s="23">
        <v>10</v>
      </c>
    </row>
    <row r="15" spans="1:3" x14ac:dyDescent="0.25">
      <c r="A15" s="23">
        <v>11</v>
      </c>
    </row>
    <row r="16" spans="1:3" x14ac:dyDescent="0.25">
      <c r="A16" s="23">
        <v>12</v>
      </c>
    </row>
    <row r="17" spans="1:1" x14ac:dyDescent="0.25">
      <c r="A17" s="23">
        <v>13</v>
      </c>
    </row>
    <row r="18" spans="1:1" x14ac:dyDescent="0.25">
      <c r="A18" s="23">
        <v>14</v>
      </c>
    </row>
    <row r="19" spans="1:1" x14ac:dyDescent="0.25">
      <c r="A19" s="23">
        <v>15</v>
      </c>
    </row>
    <row r="20" spans="1:1" x14ac:dyDescent="0.25">
      <c r="A20" s="23">
        <v>16</v>
      </c>
    </row>
    <row r="21" spans="1:1" x14ac:dyDescent="0.25">
      <c r="A21" s="23">
        <v>17</v>
      </c>
    </row>
    <row r="22" spans="1:1" x14ac:dyDescent="0.25">
      <c r="A22" s="23">
        <v>18</v>
      </c>
    </row>
    <row r="23" spans="1:1" x14ac:dyDescent="0.25">
      <c r="A23" s="23">
        <v>19</v>
      </c>
    </row>
    <row r="24" spans="1:1" x14ac:dyDescent="0.25">
      <c r="A24" s="23">
        <v>20</v>
      </c>
    </row>
    <row r="25" spans="1:1" x14ac:dyDescent="0.25">
      <c r="A25" s="23">
        <v>21</v>
      </c>
    </row>
    <row r="26" spans="1:1" x14ac:dyDescent="0.25">
      <c r="A26" s="23">
        <v>22</v>
      </c>
    </row>
    <row r="27" spans="1:1" x14ac:dyDescent="0.25">
      <c r="A27" s="23">
        <v>23</v>
      </c>
    </row>
    <row r="28" spans="1:1" x14ac:dyDescent="0.25">
      <c r="A28" s="23">
        <v>24</v>
      </c>
    </row>
    <row r="29" spans="1:1" x14ac:dyDescent="0.25">
      <c r="A29" s="23">
        <v>25</v>
      </c>
    </row>
    <row r="30" spans="1:1" x14ac:dyDescent="0.25">
      <c r="A30" s="23">
        <v>26</v>
      </c>
    </row>
    <row r="31" spans="1:1" x14ac:dyDescent="0.25">
      <c r="A31" s="23">
        <v>27</v>
      </c>
    </row>
    <row r="32" spans="1:1" x14ac:dyDescent="0.25">
      <c r="A32" s="23">
        <v>28</v>
      </c>
    </row>
    <row r="33" spans="1:1" x14ac:dyDescent="0.25">
      <c r="A33" s="23">
        <v>29</v>
      </c>
    </row>
    <row r="34" spans="1:1" x14ac:dyDescent="0.25">
      <c r="A34" s="23">
        <v>30</v>
      </c>
    </row>
    <row r="35" spans="1:1" x14ac:dyDescent="0.25">
      <c r="A35" s="23">
        <v>31</v>
      </c>
    </row>
    <row r="36" spans="1:1" x14ac:dyDescent="0.25">
      <c r="A36" s="23">
        <v>32</v>
      </c>
    </row>
    <row r="37" spans="1:1" x14ac:dyDescent="0.25">
      <c r="A37" s="23">
        <v>33</v>
      </c>
    </row>
    <row r="38" spans="1:1" x14ac:dyDescent="0.25">
      <c r="A38" s="23">
        <v>34</v>
      </c>
    </row>
    <row r="39" spans="1:1" x14ac:dyDescent="0.25">
      <c r="A39" s="23">
        <v>35</v>
      </c>
    </row>
    <row r="40" spans="1:1" x14ac:dyDescent="0.25">
      <c r="A40" s="23">
        <v>36</v>
      </c>
    </row>
    <row r="41" spans="1:1" x14ac:dyDescent="0.25">
      <c r="A41" s="23">
        <v>37</v>
      </c>
    </row>
    <row r="42" spans="1:1" x14ac:dyDescent="0.25">
      <c r="A42" s="23">
        <v>38</v>
      </c>
    </row>
    <row r="43" spans="1:1" x14ac:dyDescent="0.25">
      <c r="A43" s="23">
        <v>39</v>
      </c>
    </row>
    <row r="44" spans="1:1" x14ac:dyDescent="0.25">
      <c r="A44" s="23">
        <v>40</v>
      </c>
    </row>
    <row r="45" spans="1:1" x14ac:dyDescent="0.25">
      <c r="A45" s="23">
        <v>41</v>
      </c>
    </row>
    <row r="46" spans="1:1" x14ac:dyDescent="0.25">
      <c r="A46" s="23">
        <v>42</v>
      </c>
    </row>
    <row r="47" spans="1:1" x14ac:dyDescent="0.25">
      <c r="A47" s="23">
        <v>43</v>
      </c>
    </row>
    <row r="48" spans="1:1" x14ac:dyDescent="0.25">
      <c r="A48" s="23">
        <v>44</v>
      </c>
    </row>
    <row r="49" spans="1:1" x14ac:dyDescent="0.25">
      <c r="A49" s="23">
        <v>45</v>
      </c>
    </row>
    <row r="50" spans="1:1" x14ac:dyDescent="0.25">
      <c r="A50" s="23">
        <v>46</v>
      </c>
    </row>
    <row r="51" spans="1:1" x14ac:dyDescent="0.25">
      <c r="A51" s="23">
        <v>47</v>
      </c>
    </row>
    <row r="52" spans="1:1" x14ac:dyDescent="0.25">
      <c r="A52" s="23">
        <v>48</v>
      </c>
    </row>
    <row r="53" spans="1:1" x14ac:dyDescent="0.25">
      <c r="A53" s="23">
        <v>49</v>
      </c>
    </row>
    <row r="54" spans="1:1" x14ac:dyDescent="0.25">
      <c r="A54" s="23">
        <v>50</v>
      </c>
    </row>
    <row r="55" spans="1:1" x14ac:dyDescent="0.25">
      <c r="A55" s="23">
        <v>51</v>
      </c>
    </row>
    <row r="56" spans="1:1" x14ac:dyDescent="0.25">
      <c r="A56" s="23">
        <v>52</v>
      </c>
    </row>
    <row r="57" spans="1:1" x14ac:dyDescent="0.25">
      <c r="A57" s="23">
        <v>53</v>
      </c>
    </row>
    <row r="58" spans="1:1" x14ac:dyDescent="0.25">
      <c r="A58" s="23">
        <v>54</v>
      </c>
    </row>
    <row r="59" spans="1:1" x14ac:dyDescent="0.25">
      <c r="A59" s="23">
        <v>55</v>
      </c>
    </row>
    <row r="60" spans="1:1" x14ac:dyDescent="0.25">
      <c r="A60" s="23">
        <v>56</v>
      </c>
    </row>
    <row r="61" spans="1:1" x14ac:dyDescent="0.25">
      <c r="A61" s="23">
        <v>57</v>
      </c>
    </row>
    <row r="62" spans="1:1" x14ac:dyDescent="0.25">
      <c r="A62" s="23">
        <v>58</v>
      </c>
    </row>
    <row r="63" spans="1:1" x14ac:dyDescent="0.25">
      <c r="A63" s="23">
        <v>59</v>
      </c>
    </row>
    <row r="64" spans="1:1" x14ac:dyDescent="0.25">
      <c r="A64" s="23">
        <v>60</v>
      </c>
    </row>
    <row r="65" spans="1:1" x14ac:dyDescent="0.25">
      <c r="A65" s="23">
        <v>61</v>
      </c>
    </row>
    <row r="66" spans="1:1" x14ac:dyDescent="0.25">
      <c r="A66" s="23">
        <v>62</v>
      </c>
    </row>
    <row r="67" spans="1:1" x14ac:dyDescent="0.25">
      <c r="A67" s="23">
        <v>63</v>
      </c>
    </row>
    <row r="68" spans="1:1" x14ac:dyDescent="0.25">
      <c r="A68" s="23">
        <v>64</v>
      </c>
    </row>
    <row r="69" spans="1:1" x14ac:dyDescent="0.25">
      <c r="A69" s="23">
        <v>65</v>
      </c>
    </row>
    <row r="70" spans="1:1" x14ac:dyDescent="0.25">
      <c r="A70" s="23">
        <v>66</v>
      </c>
    </row>
    <row r="71" spans="1:1" x14ac:dyDescent="0.25">
      <c r="A71" s="23">
        <v>67</v>
      </c>
    </row>
    <row r="72" spans="1:1" x14ac:dyDescent="0.25">
      <c r="A72" s="23">
        <v>68</v>
      </c>
    </row>
    <row r="73" spans="1:1" x14ac:dyDescent="0.25">
      <c r="A73" s="23">
        <v>69</v>
      </c>
    </row>
    <row r="74" spans="1:1" x14ac:dyDescent="0.25">
      <c r="A74" s="23">
        <v>70</v>
      </c>
    </row>
    <row r="75" spans="1:1" x14ac:dyDescent="0.25">
      <c r="A75" s="23">
        <v>71</v>
      </c>
    </row>
    <row r="76" spans="1:1" x14ac:dyDescent="0.25">
      <c r="A76" s="23">
        <v>72</v>
      </c>
    </row>
    <row r="77" spans="1:1" x14ac:dyDescent="0.25">
      <c r="A77" s="23">
        <v>73</v>
      </c>
    </row>
    <row r="78" spans="1:1" x14ac:dyDescent="0.25">
      <c r="A78" s="23">
        <v>74</v>
      </c>
    </row>
    <row r="79" spans="1:1" x14ac:dyDescent="0.25">
      <c r="A79" s="23">
        <v>75</v>
      </c>
    </row>
    <row r="80" spans="1:1" x14ac:dyDescent="0.25">
      <c r="A80" s="23">
        <v>76</v>
      </c>
    </row>
    <row r="81" spans="1:1" x14ac:dyDescent="0.25">
      <c r="A81" s="23">
        <v>77</v>
      </c>
    </row>
    <row r="82" spans="1:1" x14ac:dyDescent="0.25">
      <c r="A82" s="23">
        <v>78</v>
      </c>
    </row>
    <row r="83" spans="1:1" x14ac:dyDescent="0.25">
      <c r="A83" s="23">
        <v>79</v>
      </c>
    </row>
    <row r="84" spans="1:1" x14ac:dyDescent="0.25">
      <c r="A84" s="23">
        <v>80</v>
      </c>
    </row>
    <row r="85" spans="1:1" x14ac:dyDescent="0.25">
      <c r="A85" s="23">
        <v>81</v>
      </c>
    </row>
    <row r="86" spans="1:1" x14ac:dyDescent="0.25">
      <c r="A86" s="23">
        <v>82</v>
      </c>
    </row>
    <row r="87" spans="1:1" x14ac:dyDescent="0.25">
      <c r="A87" s="23">
        <v>83</v>
      </c>
    </row>
    <row r="88" spans="1:1" x14ac:dyDescent="0.25">
      <c r="A88" s="23">
        <v>84</v>
      </c>
    </row>
    <row r="89" spans="1:1" x14ac:dyDescent="0.25">
      <c r="A89" s="23">
        <v>85</v>
      </c>
    </row>
    <row r="90" spans="1:1" x14ac:dyDescent="0.25">
      <c r="A90" s="23">
        <v>86</v>
      </c>
    </row>
    <row r="91" spans="1:1" x14ac:dyDescent="0.25">
      <c r="A91" s="23">
        <v>87</v>
      </c>
    </row>
    <row r="92" spans="1:1" x14ac:dyDescent="0.25">
      <c r="A92" s="23">
        <v>88</v>
      </c>
    </row>
    <row r="93" spans="1:1" x14ac:dyDescent="0.25">
      <c r="A93" s="23">
        <v>89</v>
      </c>
    </row>
    <row r="94" spans="1:1" x14ac:dyDescent="0.25">
      <c r="A94" s="23">
        <v>90</v>
      </c>
    </row>
    <row r="95" spans="1:1" x14ac:dyDescent="0.25">
      <c r="A95" s="23">
        <v>91</v>
      </c>
    </row>
    <row r="96" spans="1:1" x14ac:dyDescent="0.25">
      <c r="A96" s="23">
        <v>92</v>
      </c>
    </row>
    <row r="97" spans="1:1" x14ac:dyDescent="0.25">
      <c r="A97" s="23">
        <v>93</v>
      </c>
    </row>
    <row r="98" spans="1:1" x14ac:dyDescent="0.25">
      <c r="A98" s="23">
        <v>94</v>
      </c>
    </row>
    <row r="99" spans="1:1" x14ac:dyDescent="0.25">
      <c r="A99" s="23">
        <v>95</v>
      </c>
    </row>
    <row r="100" spans="1:1" x14ac:dyDescent="0.25">
      <c r="A100" s="23">
        <v>96</v>
      </c>
    </row>
    <row r="101" spans="1:1" x14ac:dyDescent="0.25">
      <c r="A101" s="23">
        <v>97</v>
      </c>
    </row>
    <row r="102" spans="1:1" x14ac:dyDescent="0.25">
      <c r="A102" s="23">
        <v>98</v>
      </c>
    </row>
    <row r="103" spans="1:1" x14ac:dyDescent="0.25">
      <c r="A103" s="23">
        <v>99</v>
      </c>
    </row>
    <row r="104" spans="1:1" x14ac:dyDescent="0.25">
      <c r="A104" s="23">
        <v>100</v>
      </c>
    </row>
    <row r="105" spans="1:1" x14ac:dyDescent="0.25">
      <c r="A105" s="23">
        <v>101</v>
      </c>
    </row>
    <row r="106" spans="1:1" x14ac:dyDescent="0.25">
      <c r="A106" s="23">
        <v>102</v>
      </c>
    </row>
    <row r="107" spans="1:1" x14ac:dyDescent="0.25">
      <c r="A107" s="23">
        <v>103</v>
      </c>
    </row>
    <row r="108" spans="1:1" x14ac:dyDescent="0.25">
      <c r="A108" s="23">
        <v>104</v>
      </c>
    </row>
    <row r="109" spans="1:1" x14ac:dyDescent="0.25">
      <c r="A109" s="23">
        <v>105</v>
      </c>
    </row>
    <row r="110" spans="1:1" x14ac:dyDescent="0.25">
      <c r="A110" s="23">
        <v>106</v>
      </c>
    </row>
    <row r="111" spans="1:1" x14ac:dyDescent="0.25">
      <c r="A111" s="23">
        <v>107</v>
      </c>
    </row>
    <row r="112" spans="1:1" x14ac:dyDescent="0.25">
      <c r="A112" s="23">
        <v>108</v>
      </c>
    </row>
    <row r="113" spans="1:1" x14ac:dyDescent="0.25">
      <c r="A113" s="23">
        <v>109</v>
      </c>
    </row>
    <row r="114" spans="1:1" x14ac:dyDescent="0.25">
      <c r="A114" s="23">
        <v>110</v>
      </c>
    </row>
    <row r="115" spans="1:1" x14ac:dyDescent="0.25">
      <c r="A115" s="23">
        <v>111</v>
      </c>
    </row>
    <row r="116" spans="1:1" x14ac:dyDescent="0.25">
      <c r="A116" s="23">
        <v>112</v>
      </c>
    </row>
    <row r="117" spans="1:1" x14ac:dyDescent="0.25">
      <c r="A117" s="23">
        <v>113</v>
      </c>
    </row>
    <row r="118" spans="1:1" x14ac:dyDescent="0.25">
      <c r="A118" s="23">
        <v>114</v>
      </c>
    </row>
    <row r="119" spans="1:1" x14ac:dyDescent="0.25">
      <c r="A119" s="23">
        <v>115</v>
      </c>
    </row>
    <row r="120" spans="1:1" x14ac:dyDescent="0.25">
      <c r="A120" s="23">
        <v>116</v>
      </c>
    </row>
    <row r="121" spans="1:1" x14ac:dyDescent="0.25">
      <c r="A121" s="23">
        <v>117</v>
      </c>
    </row>
    <row r="122" spans="1:1" x14ac:dyDescent="0.25">
      <c r="A122" s="23">
        <v>118</v>
      </c>
    </row>
    <row r="123" spans="1:1" x14ac:dyDescent="0.25">
      <c r="A123" s="23">
        <v>119</v>
      </c>
    </row>
    <row r="124" spans="1:1" x14ac:dyDescent="0.25">
      <c r="A124" s="23">
        <v>120</v>
      </c>
    </row>
    <row r="125" spans="1:1" x14ac:dyDescent="0.25">
      <c r="A125" s="23">
        <v>121</v>
      </c>
    </row>
    <row r="126" spans="1:1" x14ac:dyDescent="0.25">
      <c r="A126" s="23">
        <v>122</v>
      </c>
    </row>
    <row r="127" spans="1:1" x14ac:dyDescent="0.25">
      <c r="A127" s="23">
        <v>123</v>
      </c>
    </row>
    <row r="128" spans="1:1" x14ac:dyDescent="0.25">
      <c r="A128" s="23">
        <v>124</v>
      </c>
    </row>
    <row r="129" spans="1:1" x14ac:dyDescent="0.25">
      <c r="A129" s="23">
        <v>125</v>
      </c>
    </row>
    <row r="130" spans="1:1" x14ac:dyDescent="0.25">
      <c r="A130" s="23">
        <v>126</v>
      </c>
    </row>
    <row r="131" spans="1:1" x14ac:dyDescent="0.25">
      <c r="A131" s="23">
        <v>127</v>
      </c>
    </row>
    <row r="132" spans="1:1" x14ac:dyDescent="0.25">
      <c r="A132" s="23">
        <v>128</v>
      </c>
    </row>
    <row r="133" spans="1:1" x14ac:dyDescent="0.25">
      <c r="A133" s="23">
        <v>129</v>
      </c>
    </row>
    <row r="134" spans="1:1" x14ac:dyDescent="0.25">
      <c r="A134" s="23">
        <v>130</v>
      </c>
    </row>
    <row r="135" spans="1:1" x14ac:dyDescent="0.25">
      <c r="A135" s="23">
        <v>131</v>
      </c>
    </row>
    <row r="136" spans="1:1" x14ac:dyDescent="0.25">
      <c r="A136" s="23">
        <v>132</v>
      </c>
    </row>
    <row r="137" spans="1:1" x14ac:dyDescent="0.25">
      <c r="A137" s="23">
        <v>133</v>
      </c>
    </row>
    <row r="138" spans="1:1" x14ac:dyDescent="0.25">
      <c r="A138" s="23">
        <v>134</v>
      </c>
    </row>
    <row r="139" spans="1:1" x14ac:dyDescent="0.25">
      <c r="A139" s="23">
        <v>135</v>
      </c>
    </row>
    <row r="140" spans="1:1" x14ac:dyDescent="0.25">
      <c r="A140" s="23">
        <v>136</v>
      </c>
    </row>
    <row r="141" spans="1:1" x14ac:dyDescent="0.25">
      <c r="A141" s="23">
        <v>137</v>
      </c>
    </row>
    <row r="142" spans="1:1" x14ac:dyDescent="0.25">
      <c r="A142" s="23">
        <v>138</v>
      </c>
    </row>
    <row r="143" spans="1:1" x14ac:dyDescent="0.25">
      <c r="A143" s="23">
        <v>139</v>
      </c>
    </row>
    <row r="144" spans="1:1" x14ac:dyDescent="0.25">
      <c r="A144" s="23">
        <v>140</v>
      </c>
    </row>
    <row r="145" spans="1:1" x14ac:dyDescent="0.25">
      <c r="A145" s="23">
        <v>141</v>
      </c>
    </row>
    <row r="146" spans="1:1" x14ac:dyDescent="0.25">
      <c r="A146" s="23">
        <v>142</v>
      </c>
    </row>
    <row r="147" spans="1:1" x14ac:dyDescent="0.25">
      <c r="A147" s="23">
        <v>143</v>
      </c>
    </row>
    <row r="148" spans="1:1" x14ac:dyDescent="0.25">
      <c r="A148" s="23">
        <v>144</v>
      </c>
    </row>
    <row r="149" spans="1:1" x14ac:dyDescent="0.25">
      <c r="A149" s="23">
        <v>145</v>
      </c>
    </row>
    <row r="150" spans="1:1" x14ac:dyDescent="0.25">
      <c r="A150" s="23">
        <v>146</v>
      </c>
    </row>
    <row r="151" spans="1:1" x14ac:dyDescent="0.25">
      <c r="A151" s="23">
        <v>147</v>
      </c>
    </row>
    <row r="152" spans="1:1" x14ac:dyDescent="0.25">
      <c r="A152" s="23">
        <v>148</v>
      </c>
    </row>
    <row r="153" spans="1:1" x14ac:dyDescent="0.25">
      <c r="A153" s="23">
        <v>149</v>
      </c>
    </row>
    <row r="154" spans="1:1" x14ac:dyDescent="0.25">
      <c r="A154" s="23">
        <v>150</v>
      </c>
    </row>
    <row r="155" spans="1:1" x14ac:dyDescent="0.25">
      <c r="A155" s="23">
        <v>151</v>
      </c>
    </row>
    <row r="156" spans="1:1" x14ac:dyDescent="0.25">
      <c r="A156" s="23">
        <v>152</v>
      </c>
    </row>
    <row r="157" spans="1:1" x14ac:dyDescent="0.25">
      <c r="A157" s="23">
        <v>153</v>
      </c>
    </row>
    <row r="158" spans="1:1" x14ac:dyDescent="0.25">
      <c r="A158" s="23">
        <v>154</v>
      </c>
    </row>
    <row r="159" spans="1:1" x14ac:dyDescent="0.25">
      <c r="A159" s="23">
        <v>155</v>
      </c>
    </row>
    <row r="160" spans="1:1" x14ac:dyDescent="0.25">
      <c r="A160" s="23">
        <v>156</v>
      </c>
    </row>
    <row r="161" spans="1:1" x14ac:dyDescent="0.25">
      <c r="A161" s="23">
        <v>157</v>
      </c>
    </row>
    <row r="162" spans="1:1" x14ac:dyDescent="0.25">
      <c r="A162" s="23">
        <v>158</v>
      </c>
    </row>
    <row r="163" spans="1:1" x14ac:dyDescent="0.25">
      <c r="A163" s="23">
        <v>159</v>
      </c>
    </row>
    <row r="164" spans="1:1" x14ac:dyDescent="0.25">
      <c r="A164" s="23">
        <v>160</v>
      </c>
    </row>
    <row r="165" spans="1:1" x14ac:dyDescent="0.25">
      <c r="A165" s="23">
        <v>161</v>
      </c>
    </row>
    <row r="166" spans="1:1" x14ac:dyDescent="0.25">
      <c r="A166" s="23">
        <v>162</v>
      </c>
    </row>
    <row r="167" spans="1:1" x14ac:dyDescent="0.25">
      <c r="A167" s="23">
        <v>163</v>
      </c>
    </row>
    <row r="168" spans="1:1" x14ac:dyDescent="0.25">
      <c r="A168" s="23">
        <v>164</v>
      </c>
    </row>
    <row r="169" spans="1:1" x14ac:dyDescent="0.25">
      <c r="A169" s="23">
        <v>165</v>
      </c>
    </row>
    <row r="170" spans="1:1" x14ac:dyDescent="0.25">
      <c r="A170" s="23">
        <v>166</v>
      </c>
    </row>
    <row r="171" spans="1:1" x14ac:dyDescent="0.25">
      <c r="A171" s="23">
        <v>167</v>
      </c>
    </row>
    <row r="172" spans="1:1" x14ac:dyDescent="0.25">
      <c r="A172" s="23">
        <v>168</v>
      </c>
    </row>
    <row r="173" spans="1:1" x14ac:dyDescent="0.25">
      <c r="A173" s="23">
        <v>169</v>
      </c>
    </row>
    <row r="174" spans="1:1" x14ac:dyDescent="0.25">
      <c r="A174" s="23">
        <v>170</v>
      </c>
    </row>
    <row r="175" spans="1:1" x14ac:dyDescent="0.25">
      <c r="A175" s="23">
        <v>171</v>
      </c>
    </row>
    <row r="176" spans="1:1" x14ac:dyDescent="0.25">
      <c r="A176" s="23">
        <v>172</v>
      </c>
    </row>
    <row r="177" spans="1:1" x14ac:dyDescent="0.25">
      <c r="A177" s="23">
        <v>173</v>
      </c>
    </row>
    <row r="178" spans="1:1" x14ac:dyDescent="0.25">
      <c r="A178" s="23">
        <v>174</v>
      </c>
    </row>
    <row r="179" spans="1:1" x14ac:dyDescent="0.25">
      <c r="A179" s="23">
        <v>175</v>
      </c>
    </row>
    <row r="180" spans="1:1" x14ac:dyDescent="0.25">
      <c r="A180" s="23">
        <v>176</v>
      </c>
    </row>
    <row r="181" spans="1:1" x14ac:dyDescent="0.25">
      <c r="A181" s="23">
        <v>177</v>
      </c>
    </row>
    <row r="182" spans="1:1" x14ac:dyDescent="0.25">
      <c r="A182" s="23">
        <v>178</v>
      </c>
    </row>
    <row r="183" spans="1:1" x14ac:dyDescent="0.25">
      <c r="A183" s="23">
        <v>179</v>
      </c>
    </row>
    <row r="184" spans="1:1" x14ac:dyDescent="0.25">
      <c r="A184" s="23">
        <v>180</v>
      </c>
    </row>
    <row r="185" spans="1:1" x14ac:dyDescent="0.25">
      <c r="A185" s="23">
        <v>181</v>
      </c>
    </row>
    <row r="186" spans="1:1" x14ac:dyDescent="0.25">
      <c r="A186" s="23">
        <v>182</v>
      </c>
    </row>
    <row r="187" spans="1:1" x14ac:dyDescent="0.25">
      <c r="A187" s="23">
        <v>183</v>
      </c>
    </row>
    <row r="188" spans="1:1" x14ac:dyDescent="0.25">
      <c r="A188" s="23">
        <v>184</v>
      </c>
    </row>
    <row r="189" spans="1:1" x14ac:dyDescent="0.25">
      <c r="A189" s="23">
        <v>185</v>
      </c>
    </row>
    <row r="190" spans="1:1" x14ac:dyDescent="0.25">
      <c r="A190" s="23">
        <v>186</v>
      </c>
    </row>
    <row r="191" spans="1:1" x14ac:dyDescent="0.25">
      <c r="A191" s="23">
        <v>187</v>
      </c>
    </row>
    <row r="192" spans="1:1" x14ac:dyDescent="0.25">
      <c r="A192" s="23">
        <v>188</v>
      </c>
    </row>
    <row r="193" spans="1:1" x14ac:dyDescent="0.25">
      <c r="A193" s="23">
        <v>189</v>
      </c>
    </row>
    <row r="194" spans="1:1" x14ac:dyDescent="0.25">
      <c r="A194" s="23">
        <v>190</v>
      </c>
    </row>
    <row r="195" spans="1:1" x14ac:dyDescent="0.25">
      <c r="A195" s="23">
        <v>191</v>
      </c>
    </row>
    <row r="196" spans="1:1" x14ac:dyDescent="0.25">
      <c r="A196" s="23">
        <v>192</v>
      </c>
    </row>
    <row r="197" spans="1:1" x14ac:dyDescent="0.25">
      <c r="A197" s="23">
        <v>193</v>
      </c>
    </row>
    <row r="198" spans="1:1" x14ac:dyDescent="0.25">
      <c r="A198" s="23">
        <v>194</v>
      </c>
    </row>
    <row r="199" spans="1:1" x14ac:dyDescent="0.25">
      <c r="A199" s="23">
        <v>195</v>
      </c>
    </row>
    <row r="200" spans="1:1" x14ac:dyDescent="0.25">
      <c r="A200" s="23">
        <v>196</v>
      </c>
    </row>
    <row r="201" spans="1:1" x14ac:dyDescent="0.25">
      <c r="A201" s="23">
        <v>197</v>
      </c>
    </row>
    <row r="202" spans="1:1" x14ac:dyDescent="0.25">
      <c r="A202" s="23">
        <v>198</v>
      </c>
    </row>
    <row r="203" spans="1:1" x14ac:dyDescent="0.25">
      <c r="A203" s="23">
        <v>199</v>
      </c>
    </row>
    <row r="204" spans="1:1" x14ac:dyDescent="0.25">
      <c r="A204" s="23">
        <v>200</v>
      </c>
    </row>
    <row r="205" spans="1:1" x14ac:dyDescent="0.25">
      <c r="A205" s="23">
        <v>201</v>
      </c>
    </row>
    <row r="206" spans="1:1" x14ac:dyDescent="0.25">
      <c r="A206" s="23">
        <v>202</v>
      </c>
    </row>
    <row r="207" spans="1:1" x14ac:dyDescent="0.25">
      <c r="A207" s="23">
        <v>203</v>
      </c>
    </row>
    <row r="208" spans="1:1" x14ac:dyDescent="0.25">
      <c r="A208" s="23">
        <v>204</v>
      </c>
    </row>
    <row r="209" spans="1:1" x14ac:dyDescent="0.25">
      <c r="A209" s="23">
        <v>205</v>
      </c>
    </row>
    <row r="210" spans="1:1" x14ac:dyDescent="0.25">
      <c r="A210" s="23">
        <v>206</v>
      </c>
    </row>
    <row r="211" spans="1:1" x14ac:dyDescent="0.25">
      <c r="A211" s="23">
        <v>207</v>
      </c>
    </row>
    <row r="212" spans="1:1" x14ac:dyDescent="0.25">
      <c r="A212" s="23">
        <v>208</v>
      </c>
    </row>
    <row r="213" spans="1:1" x14ac:dyDescent="0.25">
      <c r="A213" s="23">
        <v>209</v>
      </c>
    </row>
    <row r="214" spans="1:1" x14ac:dyDescent="0.25">
      <c r="A214" s="23">
        <v>210</v>
      </c>
    </row>
    <row r="215" spans="1:1" x14ac:dyDescent="0.25">
      <c r="A215" s="23">
        <v>211</v>
      </c>
    </row>
    <row r="216" spans="1:1" x14ac:dyDescent="0.25">
      <c r="A216" s="23">
        <v>212</v>
      </c>
    </row>
    <row r="217" spans="1:1" x14ac:dyDescent="0.25">
      <c r="A217" s="23">
        <v>213</v>
      </c>
    </row>
    <row r="218" spans="1:1" x14ac:dyDescent="0.25">
      <c r="A218" s="23">
        <v>214</v>
      </c>
    </row>
    <row r="219" spans="1:1" x14ac:dyDescent="0.25">
      <c r="A219" s="23">
        <v>215</v>
      </c>
    </row>
    <row r="220" spans="1:1" x14ac:dyDescent="0.25">
      <c r="A220" s="23">
        <v>216</v>
      </c>
    </row>
    <row r="221" spans="1:1" x14ac:dyDescent="0.25">
      <c r="A221" s="23">
        <v>217</v>
      </c>
    </row>
    <row r="222" spans="1:1" x14ac:dyDescent="0.25">
      <c r="A222" s="23">
        <v>218</v>
      </c>
    </row>
    <row r="223" spans="1:1" x14ac:dyDescent="0.25">
      <c r="A223" s="23">
        <v>219</v>
      </c>
    </row>
    <row r="224" spans="1:1" x14ac:dyDescent="0.25">
      <c r="A224" s="23">
        <v>220</v>
      </c>
    </row>
    <row r="225" spans="1:1" x14ac:dyDescent="0.25">
      <c r="A225" s="23">
        <v>221</v>
      </c>
    </row>
    <row r="226" spans="1:1" x14ac:dyDescent="0.25">
      <c r="A226" s="23">
        <v>222</v>
      </c>
    </row>
    <row r="227" spans="1:1" x14ac:dyDescent="0.25">
      <c r="A227" s="23">
        <v>223</v>
      </c>
    </row>
    <row r="228" spans="1:1" x14ac:dyDescent="0.25">
      <c r="A228" s="23">
        <v>224</v>
      </c>
    </row>
    <row r="229" spans="1:1" x14ac:dyDescent="0.25">
      <c r="A229" s="23">
        <v>225</v>
      </c>
    </row>
    <row r="230" spans="1:1" x14ac:dyDescent="0.25">
      <c r="A230" s="23">
        <v>226</v>
      </c>
    </row>
    <row r="231" spans="1:1" x14ac:dyDescent="0.25">
      <c r="A231" s="23">
        <v>227</v>
      </c>
    </row>
    <row r="232" spans="1:1" x14ac:dyDescent="0.25">
      <c r="A232" s="23">
        <v>228</v>
      </c>
    </row>
    <row r="233" spans="1:1" x14ac:dyDescent="0.25">
      <c r="A233" s="23">
        <v>229</v>
      </c>
    </row>
    <row r="234" spans="1:1" x14ac:dyDescent="0.25">
      <c r="A234" s="23">
        <v>230</v>
      </c>
    </row>
    <row r="235" spans="1:1" x14ac:dyDescent="0.25">
      <c r="A235" s="23">
        <v>231</v>
      </c>
    </row>
    <row r="236" spans="1:1" x14ac:dyDescent="0.25">
      <c r="A236" s="23">
        <v>232</v>
      </c>
    </row>
    <row r="237" spans="1:1" x14ac:dyDescent="0.25">
      <c r="A237" s="23">
        <v>233</v>
      </c>
    </row>
    <row r="238" spans="1:1" x14ac:dyDescent="0.25">
      <c r="A238" s="23">
        <v>234</v>
      </c>
    </row>
    <row r="239" spans="1:1" x14ac:dyDescent="0.25">
      <c r="A239" s="23">
        <v>235</v>
      </c>
    </row>
    <row r="240" spans="1:1" x14ac:dyDescent="0.25">
      <c r="A240" s="23">
        <v>236</v>
      </c>
    </row>
    <row r="241" spans="1:1" x14ac:dyDescent="0.25">
      <c r="A241" s="23">
        <v>237</v>
      </c>
    </row>
    <row r="242" spans="1:1" x14ac:dyDescent="0.25">
      <c r="A242" s="23">
        <v>238</v>
      </c>
    </row>
    <row r="243" spans="1:1" x14ac:dyDescent="0.25">
      <c r="A243" s="23">
        <v>239</v>
      </c>
    </row>
    <row r="244" spans="1:1" x14ac:dyDescent="0.25">
      <c r="A244" s="23">
        <v>240</v>
      </c>
    </row>
    <row r="245" spans="1:1" x14ac:dyDescent="0.25">
      <c r="A245" s="23">
        <v>241</v>
      </c>
    </row>
    <row r="246" spans="1:1" x14ac:dyDescent="0.25">
      <c r="A246" s="23">
        <v>242</v>
      </c>
    </row>
    <row r="247" spans="1:1" x14ac:dyDescent="0.25">
      <c r="A247" s="23">
        <v>243</v>
      </c>
    </row>
    <row r="248" spans="1:1" x14ac:dyDescent="0.25">
      <c r="A248" s="23">
        <v>244</v>
      </c>
    </row>
    <row r="249" spans="1:1" x14ac:dyDescent="0.25">
      <c r="A249" s="23">
        <v>245</v>
      </c>
    </row>
    <row r="250" spans="1:1" x14ac:dyDescent="0.25">
      <c r="A250" s="23">
        <v>246</v>
      </c>
    </row>
    <row r="251" spans="1:1" x14ac:dyDescent="0.25">
      <c r="A251" s="23">
        <v>247</v>
      </c>
    </row>
    <row r="252" spans="1:1" x14ac:dyDescent="0.25">
      <c r="A252" s="23">
        <v>248</v>
      </c>
    </row>
    <row r="253" spans="1:1" x14ac:dyDescent="0.25">
      <c r="A253" s="23">
        <v>249</v>
      </c>
    </row>
    <row r="254" spans="1:1" x14ac:dyDescent="0.25">
      <c r="A254" s="23">
        <v>250</v>
      </c>
    </row>
    <row r="255" spans="1:1" x14ac:dyDescent="0.25">
      <c r="A255" s="23">
        <v>251</v>
      </c>
    </row>
    <row r="256" spans="1:1" x14ac:dyDescent="0.25">
      <c r="A256" s="23">
        <v>252</v>
      </c>
    </row>
    <row r="257" spans="1:1" x14ac:dyDescent="0.25">
      <c r="A257" s="23">
        <v>253</v>
      </c>
    </row>
    <row r="258" spans="1:1" x14ac:dyDescent="0.25">
      <c r="A258" s="23">
        <v>254</v>
      </c>
    </row>
    <row r="259" spans="1:1" x14ac:dyDescent="0.25">
      <c r="A259" s="23">
        <v>255</v>
      </c>
    </row>
    <row r="260" spans="1:1" x14ac:dyDescent="0.25">
      <c r="A260" s="23">
        <v>256</v>
      </c>
    </row>
    <row r="261" spans="1:1" x14ac:dyDescent="0.25">
      <c r="A261" s="23">
        <v>257</v>
      </c>
    </row>
    <row r="262" spans="1:1" x14ac:dyDescent="0.25">
      <c r="A262" s="23">
        <v>258</v>
      </c>
    </row>
    <row r="263" spans="1:1" x14ac:dyDescent="0.25">
      <c r="A263" s="23">
        <v>259</v>
      </c>
    </row>
    <row r="264" spans="1:1" x14ac:dyDescent="0.25">
      <c r="A264" s="23">
        <v>260</v>
      </c>
    </row>
    <row r="265" spans="1:1" x14ac:dyDescent="0.25">
      <c r="A265" s="23">
        <v>261</v>
      </c>
    </row>
    <row r="266" spans="1:1" x14ac:dyDescent="0.25">
      <c r="A266" s="23">
        <v>262</v>
      </c>
    </row>
    <row r="267" spans="1:1" x14ac:dyDescent="0.25">
      <c r="A267" s="23">
        <v>263</v>
      </c>
    </row>
    <row r="268" spans="1:1" x14ac:dyDescent="0.25">
      <c r="A268" s="23">
        <v>264</v>
      </c>
    </row>
    <row r="269" spans="1:1" x14ac:dyDescent="0.25">
      <c r="A269" s="23">
        <v>265</v>
      </c>
    </row>
    <row r="270" spans="1:1" x14ac:dyDescent="0.25">
      <c r="A270" s="23">
        <v>266</v>
      </c>
    </row>
    <row r="271" spans="1:1" x14ac:dyDescent="0.25">
      <c r="A271" s="23">
        <v>267</v>
      </c>
    </row>
    <row r="272" spans="1:1" x14ac:dyDescent="0.25">
      <c r="A272" s="23">
        <v>268</v>
      </c>
    </row>
    <row r="273" spans="1:1" x14ac:dyDescent="0.25">
      <c r="A273" s="23">
        <v>269</v>
      </c>
    </row>
    <row r="274" spans="1:1" x14ac:dyDescent="0.25">
      <c r="A274" s="23">
        <v>270</v>
      </c>
    </row>
    <row r="275" spans="1:1" x14ac:dyDescent="0.25">
      <c r="A275" s="23">
        <v>271</v>
      </c>
    </row>
    <row r="276" spans="1:1" x14ac:dyDescent="0.25">
      <c r="A276" s="23">
        <v>272</v>
      </c>
    </row>
    <row r="277" spans="1:1" x14ac:dyDescent="0.25">
      <c r="A277" s="23">
        <v>273</v>
      </c>
    </row>
    <row r="278" spans="1:1" x14ac:dyDescent="0.25">
      <c r="A278" s="23">
        <v>274</v>
      </c>
    </row>
    <row r="279" spans="1:1" x14ac:dyDescent="0.25">
      <c r="A279" s="23">
        <v>275</v>
      </c>
    </row>
    <row r="280" spans="1:1" x14ac:dyDescent="0.25">
      <c r="A280" s="23">
        <v>276</v>
      </c>
    </row>
    <row r="281" spans="1:1" x14ac:dyDescent="0.25">
      <c r="A281" s="23">
        <v>277</v>
      </c>
    </row>
    <row r="282" spans="1:1" x14ac:dyDescent="0.25">
      <c r="A282" s="23">
        <v>278</v>
      </c>
    </row>
    <row r="283" spans="1:1" x14ac:dyDescent="0.25">
      <c r="A283" s="23">
        <v>279</v>
      </c>
    </row>
    <row r="284" spans="1:1" x14ac:dyDescent="0.25">
      <c r="A284" s="23">
        <v>280</v>
      </c>
    </row>
    <row r="285" spans="1:1" x14ac:dyDescent="0.25">
      <c r="A285" s="23">
        <v>281</v>
      </c>
    </row>
    <row r="286" spans="1:1" x14ac:dyDescent="0.25">
      <c r="A286" s="23">
        <v>282</v>
      </c>
    </row>
    <row r="287" spans="1:1" x14ac:dyDescent="0.25">
      <c r="A287" s="23">
        <v>283</v>
      </c>
    </row>
    <row r="288" spans="1:1" x14ac:dyDescent="0.25">
      <c r="A288" s="23">
        <v>284</v>
      </c>
    </row>
    <row r="289" spans="1:1" x14ac:dyDescent="0.25">
      <c r="A289" s="23">
        <v>285</v>
      </c>
    </row>
    <row r="290" spans="1:1" x14ac:dyDescent="0.25">
      <c r="A290" s="23">
        <v>286</v>
      </c>
    </row>
    <row r="291" spans="1:1" x14ac:dyDescent="0.25">
      <c r="A291" s="23">
        <v>287</v>
      </c>
    </row>
    <row r="292" spans="1:1" x14ac:dyDescent="0.25">
      <c r="A292" s="23">
        <v>288</v>
      </c>
    </row>
    <row r="293" spans="1:1" x14ac:dyDescent="0.25">
      <c r="A293" s="23">
        <v>289</v>
      </c>
    </row>
    <row r="294" spans="1:1" x14ac:dyDescent="0.25">
      <c r="A294" s="23">
        <v>290</v>
      </c>
    </row>
    <row r="295" spans="1:1" x14ac:dyDescent="0.25">
      <c r="A295" s="23">
        <v>291</v>
      </c>
    </row>
    <row r="296" spans="1:1" x14ac:dyDescent="0.25">
      <c r="A296" s="23">
        <v>292</v>
      </c>
    </row>
    <row r="297" spans="1:1" x14ac:dyDescent="0.25">
      <c r="A297" s="23">
        <v>293</v>
      </c>
    </row>
    <row r="298" spans="1:1" x14ac:dyDescent="0.25">
      <c r="A298" s="23">
        <v>294</v>
      </c>
    </row>
    <row r="299" spans="1:1" x14ac:dyDescent="0.25">
      <c r="A299" s="23">
        <v>295</v>
      </c>
    </row>
    <row r="300" spans="1:1" x14ac:dyDescent="0.25">
      <c r="A300" s="23">
        <v>296</v>
      </c>
    </row>
    <row r="301" spans="1:1" x14ac:dyDescent="0.25">
      <c r="A301" s="23">
        <v>297</v>
      </c>
    </row>
    <row r="302" spans="1:1" x14ac:dyDescent="0.25">
      <c r="A302" s="23">
        <v>298</v>
      </c>
    </row>
    <row r="303" spans="1:1" x14ac:dyDescent="0.25">
      <c r="A303" s="23">
        <v>299</v>
      </c>
    </row>
    <row r="304" spans="1:1" x14ac:dyDescent="0.25">
      <c r="A304" s="23">
        <v>300</v>
      </c>
    </row>
    <row r="305" spans="1:1" x14ac:dyDescent="0.25">
      <c r="A305" s="23">
        <v>301</v>
      </c>
    </row>
    <row r="306" spans="1:1" x14ac:dyDescent="0.25">
      <c r="A306" s="23">
        <v>302</v>
      </c>
    </row>
    <row r="307" spans="1:1" x14ac:dyDescent="0.25">
      <c r="A307" s="23">
        <v>303</v>
      </c>
    </row>
    <row r="308" spans="1:1" x14ac:dyDescent="0.25">
      <c r="A308" s="23">
        <v>304</v>
      </c>
    </row>
    <row r="309" spans="1:1" x14ac:dyDescent="0.25">
      <c r="A309" s="23">
        <v>305</v>
      </c>
    </row>
    <row r="310" spans="1:1" x14ac:dyDescent="0.25">
      <c r="A310" s="23">
        <v>306</v>
      </c>
    </row>
    <row r="311" spans="1:1" x14ac:dyDescent="0.25">
      <c r="A311" s="23">
        <v>307</v>
      </c>
    </row>
    <row r="312" spans="1:1" x14ac:dyDescent="0.25">
      <c r="A312" s="23">
        <v>308</v>
      </c>
    </row>
    <row r="313" spans="1:1" x14ac:dyDescent="0.25">
      <c r="A313" s="23">
        <v>309</v>
      </c>
    </row>
    <row r="314" spans="1:1" x14ac:dyDescent="0.25">
      <c r="A314" s="23">
        <v>310</v>
      </c>
    </row>
    <row r="315" spans="1:1" x14ac:dyDescent="0.25">
      <c r="A315" s="23">
        <v>311</v>
      </c>
    </row>
    <row r="316" spans="1:1" x14ac:dyDescent="0.25">
      <c r="A316" s="23">
        <v>312</v>
      </c>
    </row>
    <row r="317" spans="1:1" x14ac:dyDescent="0.25">
      <c r="A317" s="23">
        <v>313</v>
      </c>
    </row>
    <row r="318" spans="1:1" x14ac:dyDescent="0.25">
      <c r="A318" s="23">
        <v>314</v>
      </c>
    </row>
    <row r="319" spans="1:1" x14ac:dyDescent="0.25">
      <c r="A319" s="23">
        <v>315</v>
      </c>
    </row>
    <row r="320" spans="1:1" x14ac:dyDescent="0.25">
      <c r="A320" s="23">
        <v>316</v>
      </c>
    </row>
    <row r="321" spans="1:1" x14ac:dyDescent="0.25">
      <c r="A321" s="23">
        <v>317</v>
      </c>
    </row>
    <row r="322" spans="1:1" x14ac:dyDescent="0.25">
      <c r="A322" s="23">
        <v>318</v>
      </c>
    </row>
    <row r="323" spans="1:1" x14ac:dyDescent="0.25">
      <c r="A323" s="23">
        <v>319</v>
      </c>
    </row>
    <row r="324" spans="1:1" x14ac:dyDescent="0.25">
      <c r="A324" s="23">
        <v>320</v>
      </c>
    </row>
    <row r="325" spans="1:1" x14ac:dyDescent="0.25">
      <c r="A325" s="23">
        <v>321</v>
      </c>
    </row>
    <row r="326" spans="1:1" x14ac:dyDescent="0.25">
      <c r="A326" s="23">
        <v>322</v>
      </c>
    </row>
    <row r="327" spans="1:1" x14ac:dyDescent="0.25">
      <c r="A327" s="23">
        <v>323</v>
      </c>
    </row>
    <row r="328" spans="1:1" x14ac:dyDescent="0.25">
      <c r="A328" s="23">
        <v>324</v>
      </c>
    </row>
    <row r="329" spans="1:1" x14ac:dyDescent="0.25">
      <c r="A329" s="23">
        <v>325</v>
      </c>
    </row>
    <row r="330" spans="1:1" x14ac:dyDescent="0.25">
      <c r="A330" s="23">
        <v>326</v>
      </c>
    </row>
    <row r="331" spans="1:1" x14ac:dyDescent="0.25">
      <c r="A331" s="23">
        <v>327</v>
      </c>
    </row>
    <row r="332" spans="1:1" x14ac:dyDescent="0.25">
      <c r="A332" s="23">
        <v>328</v>
      </c>
    </row>
    <row r="333" spans="1:1" x14ac:dyDescent="0.25">
      <c r="A333" s="23">
        <v>329</v>
      </c>
    </row>
    <row r="334" spans="1:1" x14ac:dyDescent="0.25">
      <c r="A334" s="23">
        <v>330</v>
      </c>
    </row>
    <row r="335" spans="1:1" x14ac:dyDescent="0.25">
      <c r="A335" s="23">
        <v>331</v>
      </c>
    </row>
    <row r="336" spans="1:1" x14ac:dyDescent="0.25">
      <c r="A336" s="23">
        <v>332</v>
      </c>
    </row>
    <row r="337" spans="1:1" x14ac:dyDescent="0.25">
      <c r="A337" s="23">
        <v>333</v>
      </c>
    </row>
    <row r="338" spans="1:1" x14ac:dyDescent="0.25">
      <c r="A338" s="23">
        <v>334</v>
      </c>
    </row>
    <row r="339" spans="1:1" x14ac:dyDescent="0.25">
      <c r="A339" s="23">
        <v>335</v>
      </c>
    </row>
    <row r="340" spans="1:1" x14ac:dyDescent="0.25">
      <c r="A340" s="23">
        <v>336</v>
      </c>
    </row>
    <row r="341" spans="1:1" x14ac:dyDescent="0.25">
      <c r="A341" s="23">
        <v>337</v>
      </c>
    </row>
    <row r="342" spans="1:1" x14ac:dyDescent="0.25">
      <c r="A342" s="23">
        <v>338</v>
      </c>
    </row>
    <row r="343" spans="1:1" x14ac:dyDescent="0.25">
      <c r="A343" s="23">
        <v>339</v>
      </c>
    </row>
    <row r="344" spans="1:1" x14ac:dyDescent="0.25">
      <c r="A344" s="23">
        <v>340</v>
      </c>
    </row>
    <row r="345" spans="1:1" x14ac:dyDescent="0.25">
      <c r="A345" s="23">
        <v>341</v>
      </c>
    </row>
    <row r="346" spans="1:1" x14ac:dyDescent="0.25">
      <c r="A346" s="23">
        <v>342</v>
      </c>
    </row>
    <row r="347" spans="1:1" x14ac:dyDescent="0.25">
      <c r="A347" s="23">
        <v>343</v>
      </c>
    </row>
    <row r="348" spans="1:1" x14ac:dyDescent="0.25">
      <c r="A348" s="23">
        <v>344</v>
      </c>
    </row>
    <row r="349" spans="1:1" x14ac:dyDescent="0.25">
      <c r="A349" s="23">
        <v>345</v>
      </c>
    </row>
    <row r="350" spans="1:1" x14ac:dyDescent="0.25">
      <c r="A350" s="23">
        <v>346</v>
      </c>
    </row>
    <row r="351" spans="1:1" x14ac:dyDescent="0.25">
      <c r="A351" s="23">
        <v>347</v>
      </c>
    </row>
    <row r="352" spans="1:1" x14ac:dyDescent="0.25">
      <c r="A352" s="23">
        <v>348</v>
      </c>
    </row>
    <row r="353" spans="1:1" x14ac:dyDescent="0.25">
      <c r="A353" s="23">
        <v>349</v>
      </c>
    </row>
    <row r="354" spans="1:1" x14ac:dyDescent="0.25">
      <c r="A354" s="23">
        <v>350</v>
      </c>
    </row>
    <row r="355" spans="1:1" x14ac:dyDescent="0.25">
      <c r="A355" s="23">
        <v>351</v>
      </c>
    </row>
    <row r="356" spans="1:1" x14ac:dyDescent="0.25">
      <c r="A356" s="23">
        <v>352</v>
      </c>
    </row>
    <row r="357" spans="1:1" x14ac:dyDescent="0.25">
      <c r="A357" s="23">
        <v>353</v>
      </c>
    </row>
    <row r="358" spans="1:1" x14ac:dyDescent="0.25">
      <c r="A358" s="23">
        <v>354</v>
      </c>
    </row>
    <row r="359" spans="1:1" x14ac:dyDescent="0.25">
      <c r="A359" s="23">
        <v>355</v>
      </c>
    </row>
    <row r="360" spans="1:1" x14ac:dyDescent="0.25">
      <c r="A360" s="23">
        <v>356</v>
      </c>
    </row>
    <row r="361" spans="1:1" x14ac:dyDescent="0.25">
      <c r="A361" s="23">
        <v>357</v>
      </c>
    </row>
    <row r="362" spans="1:1" x14ac:dyDescent="0.25">
      <c r="A362" s="23">
        <v>358</v>
      </c>
    </row>
    <row r="363" spans="1:1" x14ac:dyDescent="0.25">
      <c r="A363" s="23">
        <v>359</v>
      </c>
    </row>
    <row r="364" spans="1:1" x14ac:dyDescent="0.25">
      <c r="A364" s="23">
        <v>360</v>
      </c>
    </row>
    <row r="365" spans="1:1" x14ac:dyDescent="0.25">
      <c r="A365" s="23">
        <v>361</v>
      </c>
    </row>
    <row r="366" spans="1:1" x14ac:dyDescent="0.25">
      <c r="A366" s="23">
        <v>362</v>
      </c>
    </row>
    <row r="367" spans="1:1" x14ac:dyDescent="0.25">
      <c r="A367" s="23">
        <v>363</v>
      </c>
    </row>
    <row r="368" spans="1:1" x14ac:dyDescent="0.25">
      <c r="A368" s="23">
        <v>364</v>
      </c>
    </row>
    <row r="369" spans="1:1" x14ac:dyDescent="0.25">
      <c r="A369" s="23">
        <v>365</v>
      </c>
    </row>
    <row r="370" spans="1:1" x14ac:dyDescent="0.25">
      <c r="A370" s="23">
        <v>366</v>
      </c>
    </row>
    <row r="371" spans="1:1" x14ac:dyDescent="0.25">
      <c r="A371" s="23">
        <v>367</v>
      </c>
    </row>
    <row r="372" spans="1:1" x14ac:dyDescent="0.25">
      <c r="A372" s="23">
        <v>368</v>
      </c>
    </row>
    <row r="373" spans="1:1" x14ac:dyDescent="0.25">
      <c r="A373" s="23">
        <v>369</v>
      </c>
    </row>
    <row r="374" spans="1:1" x14ac:dyDescent="0.25">
      <c r="A374" s="23">
        <v>370</v>
      </c>
    </row>
    <row r="375" spans="1:1" x14ac:dyDescent="0.25">
      <c r="A375" s="23">
        <v>371</v>
      </c>
    </row>
    <row r="376" spans="1:1" x14ac:dyDescent="0.25">
      <c r="A376" s="23">
        <v>372</v>
      </c>
    </row>
    <row r="377" spans="1:1" x14ac:dyDescent="0.25">
      <c r="A377" s="23">
        <v>373</v>
      </c>
    </row>
    <row r="378" spans="1:1" x14ac:dyDescent="0.25">
      <c r="A378" s="23">
        <v>374</v>
      </c>
    </row>
    <row r="379" spans="1:1" x14ac:dyDescent="0.25">
      <c r="A379" s="23">
        <v>375</v>
      </c>
    </row>
    <row r="380" spans="1:1" x14ac:dyDescent="0.25">
      <c r="A380" s="23">
        <v>376</v>
      </c>
    </row>
    <row r="381" spans="1:1" x14ac:dyDescent="0.25">
      <c r="A381" s="23">
        <v>377</v>
      </c>
    </row>
    <row r="382" spans="1:1" x14ac:dyDescent="0.25">
      <c r="A382" s="23">
        <v>378</v>
      </c>
    </row>
    <row r="383" spans="1:1" x14ac:dyDescent="0.25">
      <c r="A383" s="23">
        <v>379</v>
      </c>
    </row>
    <row r="384" spans="1:1" x14ac:dyDescent="0.25">
      <c r="A384" s="23">
        <v>380</v>
      </c>
    </row>
    <row r="385" spans="1:1" x14ac:dyDescent="0.25">
      <c r="A385" s="23">
        <v>381</v>
      </c>
    </row>
    <row r="386" spans="1:1" x14ac:dyDescent="0.25">
      <c r="A386" s="23">
        <v>382</v>
      </c>
    </row>
    <row r="387" spans="1:1" x14ac:dyDescent="0.25">
      <c r="A387" s="23">
        <v>383</v>
      </c>
    </row>
    <row r="388" spans="1:1" x14ac:dyDescent="0.25">
      <c r="A388" s="23">
        <v>384</v>
      </c>
    </row>
    <row r="389" spans="1:1" x14ac:dyDescent="0.25">
      <c r="A389" s="23">
        <v>385</v>
      </c>
    </row>
    <row r="390" spans="1:1" x14ac:dyDescent="0.25">
      <c r="A390" s="23">
        <v>386</v>
      </c>
    </row>
    <row r="391" spans="1:1" x14ac:dyDescent="0.25">
      <c r="A391" s="23">
        <v>387</v>
      </c>
    </row>
    <row r="392" spans="1:1" x14ac:dyDescent="0.25">
      <c r="A392" s="23">
        <v>388</v>
      </c>
    </row>
    <row r="393" spans="1:1" x14ac:dyDescent="0.25">
      <c r="A393" s="23">
        <v>389</v>
      </c>
    </row>
    <row r="394" spans="1:1" x14ac:dyDescent="0.25">
      <c r="A394" s="23">
        <v>390</v>
      </c>
    </row>
    <row r="395" spans="1:1" x14ac:dyDescent="0.25">
      <c r="A395" s="23">
        <v>391</v>
      </c>
    </row>
    <row r="396" spans="1:1" x14ac:dyDescent="0.25">
      <c r="A396" s="23">
        <v>392</v>
      </c>
    </row>
    <row r="397" spans="1:1" x14ac:dyDescent="0.25">
      <c r="A397" s="23">
        <v>393</v>
      </c>
    </row>
    <row r="398" spans="1:1" x14ac:dyDescent="0.25">
      <c r="A398" s="23">
        <v>394</v>
      </c>
    </row>
    <row r="399" spans="1:1" x14ac:dyDescent="0.25">
      <c r="A399" s="23">
        <v>395</v>
      </c>
    </row>
    <row r="400" spans="1:1" x14ac:dyDescent="0.25">
      <c r="A400" s="23">
        <v>396</v>
      </c>
    </row>
    <row r="401" spans="1:1" x14ac:dyDescent="0.25">
      <c r="A401" s="23">
        <v>397</v>
      </c>
    </row>
    <row r="402" spans="1:1" x14ac:dyDescent="0.25">
      <c r="A402" s="23">
        <v>398</v>
      </c>
    </row>
    <row r="403" spans="1:1" x14ac:dyDescent="0.25">
      <c r="A403" s="23">
        <v>399</v>
      </c>
    </row>
    <row r="404" spans="1:1" x14ac:dyDescent="0.25">
      <c r="A404" s="23">
        <v>400</v>
      </c>
    </row>
    <row r="405" spans="1:1" x14ac:dyDescent="0.25">
      <c r="A405" s="23">
        <v>401</v>
      </c>
    </row>
    <row r="406" spans="1:1" x14ac:dyDescent="0.25">
      <c r="A406" s="23">
        <v>402</v>
      </c>
    </row>
    <row r="407" spans="1:1" x14ac:dyDescent="0.25">
      <c r="A407" s="23">
        <v>403</v>
      </c>
    </row>
    <row r="408" spans="1:1" x14ac:dyDescent="0.25">
      <c r="A408" s="23">
        <v>404</v>
      </c>
    </row>
    <row r="409" spans="1:1" x14ac:dyDescent="0.25">
      <c r="A409" s="23">
        <v>405</v>
      </c>
    </row>
    <row r="410" spans="1:1" x14ac:dyDescent="0.25">
      <c r="A410" s="23">
        <v>406</v>
      </c>
    </row>
    <row r="411" spans="1:1" x14ac:dyDescent="0.25">
      <c r="A411" s="23">
        <v>407</v>
      </c>
    </row>
    <row r="412" spans="1:1" x14ac:dyDescent="0.25">
      <c r="A412" s="23">
        <v>408</v>
      </c>
    </row>
    <row r="413" spans="1:1" x14ac:dyDescent="0.25">
      <c r="A413" s="23">
        <v>409</v>
      </c>
    </row>
    <row r="414" spans="1:1" x14ac:dyDescent="0.25">
      <c r="A414" s="23">
        <v>410</v>
      </c>
    </row>
    <row r="415" spans="1:1" x14ac:dyDescent="0.25">
      <c r="A415" s="23">
        <v>411</v>
      </c>
    </row>
    <row r="416" spans="1:1" x14ac:dyDescent="0.25">
      <c r="A416" s="23">
        <v>412</v>
      </c>
    </row>
    <row r="417" spans="1:1" x14ac:dyDescent="0.25">
      <c r="A417" s="23">
        <v>413</v>
      </c>
    </row>
    <row r="418" spans="1:1" x14ac:dyDescent="0.25">
      <c r="A418" s="23">
        <v>414</v>
      </c>
    </row>
    <row r="419" spans="1:1" x14ac:dyDescent="0.25">
      <c r="A419" s="23">
        <v>415</v>
      </c>
    </row>
    <row r="420" spans="1:1" x14ac:dyDescent="0.25">
      <c r="A420" s="23">
        <v>416</v>
      </c>
    </row>
    <row r="421" spans="1:1" x14ac:dyDescent="0.25">
      <c r="A421" s="23">
        <v>417</v>
      </c>
    </row>
    <row r="422" spans="1:1" x14ac:dyDescent="0.25">
      <c r="A422" s="23">
        <v>418</v>
      </c>
    </row>
    <row r="423" spans="1:1" x14ac:dyDescent="0.25">
      <c r="A423" s="23">
        <v>419</v>
      </c>
    </row>
    <row r="424" spans="1:1" x14ac:dyDescent="0.25">
      <c r="A424" s="23">
        <v>420</v>
      </c>
    </row>
    <row r="425" spans="1:1" x14ac:dyDescent="0.25">
      <c r="A425" s="23">
        <v>421</v>
      </c>
    </row>
    <row r="426" spans="1:1" x14ac:dyDescent="0.25">
      <c r="A426" s="23">
        <v>422</v>
      </c>
    </row>
    <row r="427" spans="1:1" x14ac:dyDescent="0.25">
      <c r="A427" s="23">
        <v>423</v>
      </c>
    </row>
    <row r="428" spans="1:1" x14ac:dyDescent="0.25">
      <c r="A428" s="23">
        <v>424</v>
      </c>
    </row>
    <row r="429" spans="1:1" x14ac:dyDescent="0.25">
      <c r="A429" s="23">
        <v>425</v>
      </c>
    </row>
    <row r="430" spans="1:1" x14ac:dyDescent="0.25">
      <c r="A430" s="23">
        <v>426</v>
      </c>
    </row>
    <row r="431" spans="1:1" x14ac:dyDescent="0.25">
      <c r="A431" s="23">
        <v>427</v>
      </c>
    </row>
    <row r="432" spans="1:1" x14ac:dyDescent="0.25">
      <c r="A432" s="23">
        <v>428</v>
      </c>
    </row>
    <row r="433" spans="1:1" x14ac:dyDescent="0.25">
      <c r="A433" s="23">
        <v>429</v>
      </c>
    </row>
    <row r="434" spans="1:1" x14ac:dyDescent="0.25">
      <c r="A434" s="23">
        <v>430</v>
      </c>
    </row>
    <row r="435" spans="1:1" x14ac:dyDescent="0.25">
      <c r="A435" s="23">
        <v>431</v>
      </c>
    </row>
    <row r="436" spans="1:1" x14ac:dyDescent="0.25">
      <c r="A436" s="23">
        <v>432</v>
      </c>
    </row>
    <row r="437" spans="1:1" x14ac:dyDescent="0.25">
      <c r="A437" s="23">
        <v>433</v>
      </c>
    </row>
    <row r="438" spans="1:1" x14ac:dyDescent="0.25">
      <c r="A438" s="23">
        <v>434</v>
      </c>
    </row>
    <row r="439" spans="1:1" x14ac:dyDescent="0.25">
      <c r="A439" s="23">
        <v>435</v>
      </c>
    </row>
    <row r="440" spans="1:1" x14ac:dyDescent="0.25">
      <c r="A440" s="23">
        <v>436</v>
      </c>
    </row>
    <row r="441" spans="1:1" x14ac:dyDescent="0.25">
      <c r="A441" s="23">
        <v>437</v>
      </c>
    </row>
    <row r="442" spans="1:1" x14ac:dyDescent="0.25">
      <c r="A442" s="23">
        <v>438</v>
      </c>
    </row>
    <row r="443" spans="1:1" x14ac:dyDescent="0.25">
      <c r="A443" s="23">
        <v>439</v>
      </c>
    </row>
    <row r="444" spans="1:1" x14ac:dyDescent="0.25">
      <c r="A444" s="23">
        <v>440</v>
      </c>
    </row>
    <row r="445" spans="1:1" x14ac:dyDescent="0.25">
      <c r="A445" s="23">
        <v>441</v>
      </c>
    </row>
    <row r="446" spans="1:1" x14ac:dyDescent="0.25">
      <c r="A446" s="23">
        <v>442</v>
      </c>
    </row>
    <row r="447" spans="1:1" x14ac:dyDescent="0.25">
      <c r="A447" s="23">
        <v>443</v>
      </c>
    </row>
    <row r="448" spans="1:1" x14ac:dyDescent="0.25">
      <c r="A448" s="23">
        <v>444</v>
      </c>
    </row>
    <row r="449" spans="1:1" x14ac:dyDescent="0.25">
      <c r="A449" s="23">
        <v>445</v>
      </c>
    </row>
    <row r="450" spans="1:1" x14ac:dyDescent="0.25">
      <c r="A450" s="23">
        <v>446</v>
      </c>
    </row>
    <row r="451" spans="1:1" x14ac:dyDescent="0.25">
      <c r="A451" s="23">
        <v>447</v>
      </c>
    </row>
    <row r="452" spans="1:1" x14ac:dyDescent="0.25">
      <c r="A452" s="23">
        <v>448</v>
      </c>
    </row>
    <row r="453" spans="1:1" x14ac:dyDescent="0.25">
      <c r="A453" s="23">
        <v>449</v>
      </c>
    </row>
    <row r="454" spans="1:1" x14ac:dyDescent="0.25">
      <c r="A454" s="23">
        <v>450</v>
      </c>
    </row>
    <row r="455" spans="1:1" x14ac:dyDescent="0.25">
      <c r="A455" s="23">
        <v>451</v>
      </c>
    </row>
    <row r="456" spans="1:1" x14ac:dyDescent="0.25">
      <c r="A456" s="23">
        <v>452</v>
      </c>
    </row>
    <row r="457" spans="1:1" x14ac:dyDescent="0.25">
      <c r="A457" s="23">
        <v>453</v>
      </c>
    </row>
    <row r="458" spans="1:1" x14ac:dyDescent="0.25">
      <c r="A458" s="23">
        <v>454</v>
      </c>
    </row>
    <row r="459" spans="1:1" x14ac:dyDescent="0.25">
      <c r="A459" s="23">
        <v>455</v>
      </c>
    </row>
    <row r="460" spans="1:1" x14ac:dyDescent="0.25">
      <c r="A460" s="23">
        <v>456</v>
      </c>
    </row>
    <row r="461" spans="1:1" x14ac:dyDescent="0.25">
      <c r="A461" s="23">
        <v>457</v>
      </c>
    </row>
    <row r="462" spans="1:1" x14ac:dyDescent="0.25">
      <c r="A462" s="23">
        <v>458</v>
      </c>
    </row>
    <row r="463" spans="1:1" x14ac:dyDescent="0.25">
      <c r="A463" s="23">
        <v>459</v>
      </c>
    </row>
    <row r="464" spans="1:1" x14ac:dyDescent="0.25">
      <c r="A464" s="23">
        <v>460</v>
      </c>
    </row>
    <row r="465" spans="1:1" x14ac:dyDescent="0.25">
      <c r="A465" s="23">
        <v>461</v>
      </c>
    </row>
    <row r="466" spans="1:1" x14ac:dyDescent="0.25">
      <c r="A466" s="23">
        <v>462</v>
      </c>
    </row>
    <row r="467" spans="1:1" x14ac:dyDescent="0.25">
      <c r="A467" s="23">
        <v>463</v>
      </c>
    </row>
    <row r="468" spans="1:1" x14ac:dyDescent="0.25">
      <c r="A468" s="23">
        <v>464</v>
      </c>
    </row>
    <row r="469" spans="1:1" x14ac:dyDescent="0.25">
      <c r="A469" s="23">
        <v>465</v>
      </c>
    </row>
    <row r="470" spans="1:1" x14ac:dyDescent="0.25">
      <c r="A470" s="23">
        <v>466</v>
      </c>
    </row>
    <row r="471" spans="1:1" x14ac:dyDescent="0.25">
      <c r="A471" s="23">
        <v>467</v>
      </c>
    </row>
    <row r="472" spans="1:1" x14ac:dyDescent="0.25">
      <c r="A472" s="23">
        <v>468</v>
      </c>
    </row>
    <row r="473" spans="1:1" x14ac:dyDescent="0.25">
      <c r="A473" s="23">
        <v>469</v>
      </c>
    </row>
    <row r="474" spans="1:1" x14ac:dyDescent="0.25">
      <c r="A474" s="23">
        <v>470</v>
      </c>
    </row>
    <row r="475" spans="1:1" x14ac:dyDescent="0.25">
      <c r="A475" s="23">
        <v>471</v>
      </c>
    </row>
    <row r="476" spans="1:1" x14ac:dyDescent="0.25">
      <c r="A476" s="23">
        <v>472</v>
      </c>
    </row>
    <row r="477" spans="1:1" x14ac:dyDescent="0.25">
      <c r="A477" s="23">
        <v>473</v>
      </c>
    </row>
    <row r="478" spans="1:1" x14ac:dyDescent="0.25">
      <c r="A478" s="23">
        <v>474</v>
      </c>
    </row>
    <row r="479" spans="1:1" x14ac:dyDescent="0.25">
      <c r="A479" s="23">
        <v>475</v>
      </c>
    </row>
    <row r="480" spans="1:1" x14ac:dyDescent="0.25">
      <c r="A480" s="23">
        <v>476</v>
      </c>
    </row>
    <row r="481" spans="1:1" x14ac:dyDescent="0.25">
      <c r="A481" s="23">
        <v>477</v>
      </c>
    </row>
    <row r="482" spans="1:1" x14ac:dyDescent="0.25">
      <c r="A482" s="23">
        <v>478</v>
      </c>
    </row>
    <row r="483" spans="1:1" x14ac:dyDescent="0.25">
      <c r="A483" s="23">
        <v>479</v>
      </c>
    </row>
    <row r="484" spans="1:1" x14ac:dyDescent="0.25">
      <c r="A484" s="23">
        <v>480</v>
      </c>
    </row>
    <row r="485" spans="1:1" x14ac:dyDescent="0.25">
      <c r="A485" s="23">
        <v>481</v>
      </c>
    </row>
    <row r="486" spans="1:1" x14ac:dyDescent="0.25">
      <c r="A486" s="23">
        <v>482</v>
      </c>
    </row>
    <row r="487" spans="1:1" x14ac:dyDescent="0.25">
      <c r="A487" s="23">
        <v>483</v>
      </c>
    </row>
    <row r="488" spans="1:1" x14ac:dyDescent="0.25">
      <c r="A488" s="23">
        <v>484</v>
      </c>
    </row>
    <row r="489" spans="1:1" x14ac:dyDescent="0.25">
      <c r="A489" s="23">
        <v>485</v>
      </c>
    </row>
    <row r="490" spans="1:1" x14ac:dyDescent="0.25">
      <c r="A490" s="23">
        <v>486</v>
      </c>
    </row>
    <row r="491" spans="1:1" x14ac:dyDescent="0.25">
      <c r="A491" s="23">
        <v>487</v>
      </c>
    </row>
    <row r="492" spans="1:1" x14ac:dyDescent="0.25">
      <c r="A492" s="23">
        <v>488</v>
      </c>
    </row>
    <row r="493" spans="1:1" x14ac:dyDescent="0.25">
      <c r="A493" s="23">
        <v>489</v>
      </c>
    </row>
    <row r="494" spans="1:1" x14ac:dyDescent="0.25">
      <c r="A494" s="23">
        <v>490</v>
      </c>
    </row>
    <row r="495" spans="1:1" x14ac:dyDescent="0.25">
      <c r="A495" s="23">
        <v>491</v>
      </c>
    </row>
    <row r="496" spans="1:1" x14ac:dyDescent="0.25">
      <c r="A496" s="23">
        <v>492</v>
      </c>
    </row>
    <row r="497" spans="1:1" x14ac:dyDescent="0.25">
      <c r="A497" s="23">
        <v>493</v>
      </c>
    </row>
    <row r="498" spans="1:1" x14ac:dyDescent="0.25">
      <c r="A498" s="23">
        <v>494</v>
      </c>
    </row>
    <row r="499" spans="1:1" x14ac:dyDescent="0.25">
      <c r="A499" s="23">
        <v>495</v>
      </c>
    </row>
    <row r="500" spans="1:1" x14ac:dyDescent="0.25">
      <c r="A500" s="23">
        <v>496</v>
      </c>
    </row>
    <row r="501" spans="1:1" x14ac:dyDescent="0.25">
      <c r="A501" s="23">
        <v>497</v>
      </c>
    </row>
    <row r="502" spans="1:1" x14ac:dyDescent="0.25">
      <c r="A502" s="23">
        <v>498</v>
      </c>
    </row>
    <row r="503" spans="1:1" x14ac:dyDescent="0.25">
      <c r="A503" s="23">
        <v>499</v>
      </c>
    </row>
    <row r="504" spans="1:1" x14ac:dyDescent="0.25">
      <c r="A504" s="23">
        <v>500</v>
      </c>
    </row>
    <row r="505" spans="1:1" x14ac:dyDescent="0.25">
      <c r="A505" s="23">
        <v>501</v>
      </c>
    </row>
    <row r="506" spans="1:1" x14ac:dyDescent="0.25">
      <c r="A506" s="23">
        <v>502</v>
      </c>
    </row>
    <row r="507" spans="1:1" x14ac:dyDescent="0.25">
      <c r="A507" s="23">
        <v>503</v>
      </c>
    </row>
    <row r="508" spans="1:1" x14ac:dyDescent="0.25">
      <c r="A508" s="23">
        <v>504</v>
      </c>
    </row>
    <row r="509" spans="1:1" x14ac:dyDescent="0.25">
      <c r="A509" s="23">
        <v>505</v>
      </c>
    </row>
    <row r="510" spans="1:1" x14ac:dyDescent="0.25">
      <c r="A510" s="23">
        <v>506</v>
      </c>
    </row>
    <row r="511" spans="1:1" x14ac:dyDescent="0.25">
      <c r="A511" s="23">
        <v>507</v>
      </c>
    </row>
    <row r="512" spans="1:1" x14ac:dyDescent="0.25">
      <c r="A512" s="23">
        <v>508</v>
      </c>
    </row>
    <row r="513" spans="1:1" x14ac:dyDescent="0.25">
      <c r="A513" s="23">
        <v>509</v>
      </c>
    </row>
    <row r="514" spans="1:1" x14ac:dyDescent="0.25">
      <c r="A514" s="23">
        <v>510</v>
      </c>
    </row>
    <row r="515" spans="1:1" x14ac:dyDescent="0.25">
      <c r="A515" s="23">
        <v>511</v>
      </c>
    </row>
    <row r="516" spans="1:1" x14ac:dyDescent="0.25">
      <c r="A516" s="23">
        <v>512</v>
      </c>
    </row>
    <row r="517" spans="1:1" x14ac:dyDescent="0.25">
      <c r="A517" s="23">
        <v>513</v>
      </c>
    </row>
    <row r="518" spans="1:1" x14ac:dyDescent="0.25">
      <c r="A518" s="23">
        <v>514</v>
      </c>
    </row>
    <row r="519" spans="1:1" x14ac:dyDescent="0.25">
      <c r="A519" s="23">
        <v>515</v>
      </c>
    </row>
    <row r="520" spans="1:1" x14ac:dyDescent="0.25">
      <c r="A520" s="23">
        <v>516</v>
      </c>
    </row>
    <row r="521" spans="1:1" x14ac:dyDescent="0.25">
      <c r="A521" s="23">
        <v>517</v>
      </c>
    </row>
    <row r="522" spans="1:1" x14ac:dyDescent="0.25">
      <c r="A522" s="23">
        <v>518</v>
      </c>
    </row>
    <row r="523" spans="1:1" x14ac:dyDescent="0.25">
      <c r="A523" s="23">
        <v>519</v>
      </c>
    </row>
    <row r="524" spans="1:1" x14ac:dyDescent="0.25">
      <c r="A524" s="23">
        <v>520</v>
      </c>
    </row>
    <row r="525" spans="1:1" x14ac:dyDescent="0.25">
      <c r="A525" s="23">
        <v>521</v>
      </c>
    </row>
    <row r="526" spans="1:1" x14ac:dyDescent="0.25">
      <c r="A526" s="23">
        <v>522</v>
      </c>
    </row>
    <row r="527" spans="1:1" x14ac:dyDescent="0.25">
      <c r="A527" s="23">
        <v>523</v>
      </c>
    </row>
    <row r="528" spans="1:1" x14ac:dyDescent="0.25">
      <c r="A528" s="23">
        <v>524</v>
      </c>
    </row>
    <row r="529" spans="1:1" x14ac:dyDescent="0.25">
      <c r="A529" s="23">
        <v>525</v>
      </c>
    </row>
    <row r="530" spans="1:1" x14ac:dyDescent="0.25">
      <c r="A530" s="23">
        <v>526</v>
      </c>
    </row>
    <row r="531" spans="1:1" x14ac:dyDescent="0.25">
      <c r="A531" s="23">
        <v>527</v>
      </c>
    </row>
    <row r="532" spans="1:1" x14ac:dyDescent="0.25">
      <c r="A532" s="23">
        <v>528</v>
      </c>
    </row>
    <row r="533" spans="1:1" x14ac:dyDescent="0.25">
      <c r="A533" s="23">
        <v>529</v>
      </c>
    </row>
    <row r="534" spans="1:1" x14ac:dyDescent="0.25">
      <c r="A534" s="23">
        <v>530</v>
      </c>
    </row>
    <row r="535" spans="1:1" x14ac:dyDescent="0.25">
      <c r="A535" s="23">
        <v>531</v>
      </c>
    </row>
    <row r="536" spans="1:1" x14ac:dyDescent="0.25">
      <c r="A536" s="23">
        <v>532</v>
      </c>
    </row>
    <row r="537" spans="1:1" x14ac:dyDescent="0.25">
      <c r="A537" s="23">
        <v>533</v>
      </c>
    </row>
    <row r="538" spans="1:1" x14ac:dyDescent="0.25">
      <c r="A538" s="23">
        <v>534</v>
      </c>
    </row>
    <row r="539" spans="1:1" x14ac:dyDescent="0.25">
      <c r="A539" s="23">
        <v>535</v>
      </c>
    </row>
    <row r="540" spans="1:1" x14ac:dyDescent="0.25">
      <c r="A540" s="23">
        <v>536</v>
      </c>
    </row>
    <row r="541" spans="1:1" x14ac:dyDescent="0.25">
      <c r="A541" s="23">
        <v>537</v>
      </c>
    </row>
    <row r="542" spans="1:1" x14ac:dyDescent="0.25">
      <c r="A542" s="23">
        <v>538</v>
      </c>
    </row>
    <row r="543" spans="1:1" x14ac:dyDescent="0.25">
      <c r="A543" s="23">
        <v>539</v>
      </c>
    </row>
    <row r="544" spans="1:1" x14ac:dyDescent="0.25">
      <c r="A544" s="23">
        <v>540</v>
      </c>
    </row>
    <row r="545" spans="1:1" x14ac:dyDescent="0.25">
      <c r="A545" s="23">
        <v>541</v>
      </c>
    </row>
    <row r="546" spans="1:1" x14ac:dyDescent="0.25">
      <c r="A546" s="23">
        <v>542</v>
      </c>
    </row>
    <row r="547" spans="1:1" x14ac:dyDescent="0.25">
      <c r="A547" s="23">
        <v>543</v>
      </c>
    </row>
    <row r="548" spans="1:1" x14ac:dyDescent="0.25">
      <c r="A548" s="23">
        <v>544</v>
      </c>
    </row>
    <row r="549" spans="1:1" x14ac:dyDescent="0.25">
      <c r="A549" s="23">
        <v>545</v>
      </c>
    </row>
    <row r="550" spans="1:1" x14ac:dyDescent="0.25">
      <c r="A550" s="23">
        <v>546</v>
      </c>
    </row>
    <row r="551" spans="1:1" x14ac:dyDescent="0.25">
      <c r="A551" s="23">
        <v>547</v>
      </c>
    </row>
    <row r="552" spans="1:1" x14ac:dyDescent="0.25">
      <c r="A552" s="23">
        <v>548</v>
      </c>
    </row>
    <row r="553" spans="1:1" x14ac:dyDescent="0.25">
      <c r="A553" s="23">
        <v>549</v>
      </c>
    </row>
    <row r="554" spans="1:1" x14ac:dyDescent="0.25">
      <c r="A554" s="23">
        <v>550</v>
      </c>
    </row>
    <row r="555" spans="1:1" x14ac:dyDescent="0.25">
      <c r="A555" s="23">
        <v>551</v>
      </c>
    </row>
    <row r="556" spans="1:1" x14ac:dyDescent="0.25">
      <c r="A556" s="23">
        <v>552</v>
      </c>
    </row>
    <row r="557" spans="1:1" x14ac:dyDescent="0.25">
      <c r="A557" s="23">
        <v>553</v>
      </c>
    </row>
    <row r="558" spans="1:1" x14ac:dyDescent="0.25">
      <c r="A558" s="23">
        <v>554</v>
      </c>
    </row>
    <row r="559" spans="1:1" x14ac:dyDescent="0.25">
      <c r="A559" s="23">
        <v>555</v>
      </c>
    </row>
    <row r="560" spans="1:1" x14ac:dyDescent="0.25">
      <c r="A560" s="23">
        <v>556</v>
      </c>
    </row>
    <row r="561" spans="1:1" x14ac:dyDescent="0.25">
      <c r="A561" s="23">
        <v>557</v>
      </c>
    </row>
    <row r="562" spans="1:1" x14ac:dyDescent="0.25">
      <c r="A562" s="23">
        <v>558</v>
      </c>
    </row>
    <row r="563" spans="1:1" x14ac:dyDescent="0.25">
      <c r="A563" s="23">
        <v>559</v>
      </c>
    </row>
    <row r="564" spans="1:1" x14ac:dyDescent="0.25">
      <c r="A564" s="23">
        <v>560</v>
      </c>
    </row>
    <row r="565" spans="1:1" x14ac:dyDescent="0.25">
      <c r="A565" s="23">
        <v>561</v>
      </c>
    </row>
    <row r="566" spans="1:1" x14ac:dyDescent="0.25">
      <c r="A566" s="23">
        <v>562</v>
      </c>
    </row>
    <row r="567" spans="1:1" x14ac:dyDescent="0.25">
      <c r="A567" s="23">
        <v>563</v>
      </c>
    </row>
    <row r="568" spans="1:1" x14ac:dyDescent="0.25">
      <c r="A568" s="23">
        <v>564</v>
      </c>
    </row>
    <row r="569" spans="1:1" x14ac:dyDescent="0.25">
      <c r="A569" s="23">
        <v>565</v>
      </c>
    </row>
    <row r="570" spans="1:1" x14ac:dyDescent="0.25">
      <c r="A570" s="23">
        <v>566</v>
      </c>
    </row>
    <row r="571" spans="1:1" x14ac:dyDescent="0.25">
      <c r="A571" s="23">
        <v>567</v>
      </c>
    </row>
    <row r="572" spans="1:1" x14ac:dyDescent="0.25">
      <c r="A572" s="23">
        <v>568</v>
      </c>
    </row>
    <row r="573" spans="1:1" x14ac:dyDescent="0.25">
      <c r="A573" s="23">
        <v>569</v>
      </c>
    </row>
    <row r="574" spans="1:1" x14ac:dyDescent="0.25">
      <c r="A574" s="23">
        <v>570</v>
      </c>
    </row>
    <row r="575" spans="1:1" x14ac:dyDescent="0.25">
      <c r="A575" s="23">
        <v>571</v>
      </c>
    </row>
    <row r="576" spans="1:1" x14ac:dyDescent="0.25">
      <c r="A576" s="23">
        <v>572</v>
      </c>
    </row>
    <row r="577" spans="1:1" x14ac:dyDescent="0.25">
      <c r="A577" s="23">
        <v>573</v>
      </c>
    </row>
    <row r="578" spans="1:1" x14ac:dyDescent="0.25">
      <c r="A578" s="23">
        <v>574</v>
      </c>
    </row>
    <row r="579" spans="1:1" x14ac:dyDescent="0.25">
      <c r="A579" s="23">
        <v>575</v>
      </c>
    </row>
    <row r="580" spans="1:1" x14ac:dyDescent="0.25">
      <c r="A580" s="23">
        <v>576</v>
      </c>
    </row>
    <row r="581" spans="1:1" x14ac:dyDescent="0.25">
      <c r="A581" s="23">
        <v>577</v>
      </c>
    </row>
    <row r="582" spans="1:1" x14ac:dyDescent="0.25">
      <c r="A582" s="23">
        <v>578</v>
      </c>
    </row>
    <row r="583" spans="1:1" x14ac:dyDescent="0.25">
      <c r="A583" s="23">
        <v>579</v>
      </c>
    </row>
    <row r="584" spans="1:1" x14ac:dyDescent="0.25">
      <c r="A584" s="23">
        <v>580</v>
      </c>
    </row>
    <row r="585" spans="1:1" x14ac:dyDescent="0.25">
      <c r="A585" s="23">
        <v>581</v>
      </c>
    </row>
    <row r="586" spans="1:1" x14ac:dyDescent="0.25">
      <c r="A586" s="23">
        <v>582</v>
      </c>
    </row>
    <row r="587" spans="1:1" x14ac:dyDescent="0.25">
      <c r="A587" s="23">
        <v>583</v>
      </c>
    </row>
    <row r="588" spans="1:1" x14ac:dyDescent="0.25">
      <c r="A588" s="23">
        <v>584</v>
      </c>
    </row>
    <row r="589" spans="1:1" x14ac:dyDescent="0.25">
      <c r="A589" s="23">
        <v>585</v>
      </c>
    </row>
    <row r="590" spans="1:1" x14ac:dyDescent="0.25">
      <c r="A590" s="23">
        <v>586</v>
      </c>
    </row>
    <row r="591" spans="1:1" x14ac:dyDescent="0.25">
      <c r="A591" s="23">
        <v>587</v>
      </c>
    </row>
    <row r="592" spans="1:1" x14ac:dyDescent="0.25">
      <c r="A592" s="23">
        <v>588</v>
      </c>
    </row>
    <row r="593" spans="1:1" x14ac:dyDescent="0.25">
      <c r="A593" s="23">
        <v>589</v>
      </c>
    </row>
    <row r="594" spans="1:1" x14ac:dyDescent="0.25">
      <c r="A594" s="23">
        <v>590</v>
      </c>
    </row>
    <row r="595" spans="1:1" x14ac:dyDescent="0.25">
      <c r="A595" s="23">
        <v>591</v>
      </c>
    </row>
    <row r="596" spans="1:1" x14ac:dyDescent="0.25">
      <c r="A596" s="23">
        <v>592</v>
      </c>
    </row>
    <row r="597" spans="1:1" x14ac:dyDescent="0.25">
      <c r="A597" s="23">
        <v>593</v>
      </c>
    </row>
    <row r="598" spans="1:1" x14ac:dyDescent="0.25">
      <c r="A598" s="23">
        <v>594</v>
      </c>
    </row>
    <row r="599" spans="1:1" x14ac:dyDescent="0.25">
      <c r="A599" s="23">
        <v>595</v>
      </c>
    </row>
    <row r="600" spans="1:1" x14ac:dyDescent="0.25">
      <c r="A600" s="23">
        <v>596</v>
      </c>
    </row>
    <row r="601" spans="1:1" x14ac:dyDescent="0.25">
      <c r="A601" s="23">
        <v>597</v>
      </c>
    </row>
    <row r="602" spans="1:1" x14ac:dyDescent="0.25">
      <c r="A602" s="23">
        <v>598</v>
      </c>
    </row>
    <row r="603" spans="1:1" x14ac:dyDescent="0.25">
      <c r="A603" s="23">
        <v>599</v>
      </c>
    </row>
    <row r="604" spans="1:1" x14ac:dyDescent="0.25">
      <c r="A604" s="23">
        <v>600</v>
      </c>
    </row>
    <row r="605" spans="1:1" x14ac:dyDescent="0.25">
      <c r="A605" s="23">
        <v>601</v>
      </c>
    </row>
    <row r="606" spans="1:1" x14ac:dyDescent="0.25">
      <c r="A606" s="23">
        <v>602</v>
      </c>
    </row>
    <row r="607" spans="1:1" x14ac:dyDescent="0.25">
      <c r="A607" s="23">
        <v>603</v>
      </c>
    </row>
    <row r="608" spans="1:1" x14ac:dyDescent="0.25">
      <c r="A608" s="23">
        <v>604</v>
      </c>
    </row>
    <row r="609" spans="1:1" x14ac:dyDescent="0.25">
      <c r="A609" s="23">
        <v>605</v>
      </c>
    </row>
    <row r="610" spans="1:1" x14ac:dyDescent="0.25">
      <c r="A610" s="23">
        <v>606</v>
      </c>
    </row>
    <row r="611" spans="1:1" x14ac:dyDescent="0.25">
      <c r="A611" s="23">
        <v>607</v>
      </c>
    </row>
    <row r="612" spans="1:1" x14ac:dyDescent="0.25">
      <c r="A612" s="23">
        <v>608</v>
      </c>
    </row>
    <row r="613" spans="1:1" x14ac:dyDescent="0.25">
      <c r="A613" s="23">
        <v>609</v>
      </c>
    </row>
    <row r="614" spans="1:1" x14ac:dyDescent="0.25">
      <c r="A614" s="23">
        <v>610</v>
      </c>
    </row>
    <row r="615" spans="1:1" x14ac:dyDescent="0.25">
      <c r="A615" s="23">
        <v>611</v>
      </c>
    </row>
    <row r="616" spans="1:1" x14ac:dyDescent="0.25">
      <c r="A616" s="23">
        <v>612</v>
      </c>
    </row>
    <row r="617" spans="1:1" x14ac:dyDescent="0.25">
      <c r="A617" s="23">
        <v>613</v>
      </c>
    </row>
    <row r="618" spans="1:1" x14ac:dyDescent="0.25">
      <c r="A618" s="23">
        <v>614</v>
      </c>
    </row>
    <row r="619" spans="1:1" x14ac:dyDescent="0.25">
      <c r="A619" s="23">
        <v>615</v>
      </c>
    </row>
    <row r="620" spans="1:1" x14ac:dyDescent="0.25">
      <c r="A620" s="23">
        <v>616</v>
      </c>
    </row>
    <row r="621" spans="1:1" x14ac:dyDescent="0.25">
      <c r="A621" s="23">
        <v>617</v>
      </c>
    </row>
    <row r="622" spans="1:1" x14ac:dyDescent="0.25">
      <c r="A622" s="23">
        <v>618</v>
      </c>
    </row>
    <row r="623" spans="1:1" x14ac:dyDescent="0.25">
      <c r="A623" s="23">
        <v>619</v>
      </c>
    </row>
    <row r="624" spans="1:1" x14ac:dyDescent="0.25">
      <c r="A624" s="23">
        <v>620</v>
      </c>
    </row>
    <row r="625" spans="1:1" x14ac:dyDescent="0.25">
      <c r="A625" s="23">
        <v>621</v>
      </c>
    </row>
    <row r="626" spans="1:1" x14ac:dyDescent="0.25">
      <c r="A626" s="23">
        <v>622</v>
      </c>
    </row>
    <row r="627" spans="1:1" x14ac:dyDescent="0.25">
      <c r="A627" s="23">
        <v>623</v>
      </c>
    </row>
    <row r="628" spans="1:1" x14ac:dyDescent="0.25">
      <c r="A628" s="23">
        <v>624</v>
      </c>
    </row>
    <row r="629" spans="1:1" x14ac:dyDescent="0.25">
      <c r="A629" s="23">
        <v>625</v>
      </c>
    </row>
    <row r="630" spans="1:1" x14ac:dyDescent="0.25">
      <c r="A630" s="23">
        <v>626</v>
      </c>
    </row>
    <row r="631" spans="1:1" x14ac:dyDescent="0.25">
      <c r="A631" s="23">
        <v>627</v>
      </c>
    </row>
    <row r="632" spans="1:1" x14ac:dyDescent="0.25">
      <c r="A632" s="23">
        <v>628</v>
      </c>
    </row>
    <row r="633" spans="1:1" x14ac:dyDescent="0.25">
      <c r="A633" s="23">
        <v>629</v>
      </c>
    </row>
    <row r="634" spans="1:1" x14ac:dyDescent="0.25">
      <c r="A634" s="23">
        <v>630</v>
      </c>
    </row>
    <row r="635" spans="1:1" x14ac:dyDescent="0.25">
      <c r="A635" s="23">
        <v>631</v>
      </c>
    </row>
    <row r="636" spans="1:1" x14ac:dyDescent="0.25">
      <c r="A636" s="23">
        <v>632</v>
      </c>
    </row>
    <row r="637" spans="1:1" x14ac:dyDescent="0.25">
      <c r="A637" s="23">
        <v>633</v>
      </c>
    </row>
    <row r="638" spans="1:1" x14ac:dyDescent="0.25">
      <c r="A638" s="23">
        <v>634</v>
      </c>
    </row>
    <row r="639" spans="1:1" x14ac:dyDescent="0.25">
      <c r="A639" s="23">
        <v>635</v>
      </c>
    </row>
    <row r="640" spans="1:1" x14ac:dyDescent="0.25">
      <c r="A640" s="23">
        <v>636</v>
      </c>
    </row>
    <row r="641" spans="1:1" x14ac:dyDescent="0.25">
      <c r="A641" s="23">
        <v>637</v>
      </c>
    </row>
    <row r="642" spans="1:1" x14ac:dyDescent="0.25">
      <c r="A642" s="23">
        <v>638</v>
      </c>
    </row>
    <row r="643" spans="1:1" x14ac:dyDescent="0.25">
      <c r="A643" s="23">
        <v>639</v>
      </c>
    </row>
    <row r="644" spans="1:1" x14ac:dyDescent="0.25">
      <c r="A644" s="23">
        <v>640</v>
      </c>
    </row>
    <row r="645" spans="1:1" x14ac:dyDescent="0.25">
      <c r="A645" s="23">
        <v>641</v>
      </c>
    </row>
    <row r="646" spans="1:1" x14ac:dyDescent="0.25">
      <c r="A646" s="23">
        <v>642</v>
      </c>
    </row>
    <row r="647" spans="1:1" x14ac:dyDescent="0.25">
      <c r="A647" s="23">
        <v>643</v>
      </c>
    </row>
    <row r="648" spans="1:1" x14ac:dyDescent="0.25">
      <c r="A648" s="23">
        <v>644</v>
      </c>
    </row>
    <row r="649" spans="1:1" x14ac:dyDescent="0.25">
      <c r="A649" s="23">
        <v>645</v>
      </c>
    </row>
    <row r="650" spans="1:1" x14ac:dyDescent="0.25">
      <c r="A650" s="23">
        <v>646</v>
      </c>
    </row>
    <row r="651" spans="1:1" x14ac:dyDescent="0.25">
      <c r="A651" s="23">
        <v>647</v>
      </c>
    </row>
    <row r="652" spans="1:1" x14ac:dyDescent="0.25">
      <c r="A652" s="23">
        <v>648</v>
      </c>
    </row>
    <row r="653" spans="1:1" x14ac:dyDescent="0.25">
      <c r="A653" s="23">
        <v>649</v>
      </c>
    </row>
    <row r="654" spans="1:1" x14ac:dyDescent="0.25">
      <c r="A654" s="23">
        <v>650</v>
      </c>
    </row>
    <row r="655" spans="1:1" x14ac:dyDescent="0.25">
      <c r="A655" s="23">
        <v>651</v>
      </c>
    </row>
    <row r="656" spans="1:1" x14ac:dyDescent="0.25">
      <c r="A656" s="23">
        <v>652</v>
      </c>
    </row>
    <row r="657" spans="1:1" x14ac:dyDescent="0.25">
      <c r="A657" s="23">
        <v>653</v>
      </c>
    </row>
    <row r="658" spans="1:1" x14ac:dyDescent="0.25">
      <c r="A658" s="23">
        <v>654</v>
      </c>
    </row>
    <row r="659" spans="1:1" x14ac:dyDescent="0.25">
      <c r="A659" s="23">
        <v>655</v>
      </c>
    </row>
    <row r="660" spans="1:1" x14ac:dyDescent="0.25">
      <c r="A660" s="23">
        <v>656</v>
      </c>
    </row>
    <row r="661" spans="1:1" x14ac:dyDescent="0.25">
      <c r="A661" s="23">
        <v>657</v>
      </c>
    </row>
    <row r="662" spans="1:1" x14ac:dyDescent="0.25">
      <c r="A662" s="23">
        <v>658</v>
      </c>
    </row>
    <row r="663" spans="1:1" x14ac:dyDescent="0.25">
      <c r="A663" s="23">
        <v>659</v>
      </c>
    </row>
    <row r="664" spans="1:1" x14ac:dyDescent="0.25">
      <c r="A664" s="23">
        <v>660</v>
      </c>
    </row>
    <row r="665" spans="1:1" x14ac:dyDescent="0.25">
      <c r="A665" s="23">
        <v>661</v>
      </c>
    </row>
    <row r="666" spans="1:1" x14ac:dyDescent="0.25">
      <c r="A666" s="23">
        <v>662</v>
      </c>
    </row>
    <row r="667" spans="1:1" x14ac:dyDescent="0.25">
      <c r="A667" s="23">
        <v>663</v>
      </c>
    </row>
    <row r="668" spans="1:1" x14ac:dyDescent="0.25">
      <c r="A668" s="23">
        <v>664</v>
      </c>
    </row>
    <row r="669" spans="1:1" x14ac:dyDescent="0.25">
      <c r="A669" s="23">
        <v>665</v>
      </c>
    </row>
    <row r="670" spans="1:1" x14ac:dyDescent="0.25">
      <c r="A670" s="23">
        <v>666</v>
      </c>
    </row>
    <row r="671" spans="1:1" x14ac:dyDescent="0.25">
      <c r="A671" s="23">
        <v>667</v>
      </c>
    </row>
    <row r="672" spans="1:1" x14ac:dyDescent="0.25">
      <c r="A672" s="23">
        <v>668</v>
      </c>
    </row>
    <row r="673" spans="1:1" x14ac:dyDescent="0.25">
      <c r="A673" s="23">
        <v>669</v>
      </c>
    </row>
    <row r="674" spans="1:1" x14ac:dyDescent="0.25">
      <c r="A674" s="23">
        <v>670</v>
      </c>
    </row>
    <row r="675" spans="1:1" x14ac:dyDescent="0.25">
      <c r="A675" s="23">
        <v>671</v>
      </c>
    </row>
    <row r="676" spans="1:1" x14ac:dyDescent="0.25">
      <c r="A676" s="23">
        <v>672</v>
      </c>
    </row>
    <row r="677" spans="1:1" x14ac:dyDescent="0.25">
      <c r="A677" s="23">
        <v>673</v>
      </c>
    </row>
    <row r="678" spans="1:1" x14ac:dyDescent="0.25">
      <c r="A678" s="23">
        <v>674</v>
      </c>
    </row>
    <row r="679" spans="1:1" x14ac:dyDescent="0.25">
      <c r="A679" s="23">
        <v>675</v>
      </c>
    </row>
    <row r="680" spans="1:1" x14ac:dyDescent="0.25">
      <c r="A680" s="23">
        <v>676</v>
      </c>
    </row>
    <row r="681" spans="1:1" x14ac:dyDescent="0.25">
      <c r="A681" s="23">
        <v>677</v>
      </c>
    </row>
    <row r="682" spans="1:1" x14ac:dyDescent="0.25">
      <c r="A682" s="23">
        <v>678</v>
      </c>
    </row>
    <row r="683" spans="1:1" x14ac:dyDescent="0.25">
      <c r="A683" s="23">
        <v>679</v>
      </c>
    </row>
    <row r="684" spans="1:1" x14ac:dyDescent="0.25">
      <c r="A684" s="23">
        <v>680</v>
      </c>
    </row>
    <row r="685" spans="1:1" x14ac:dyDescent="0.25">
      <c r="A685" s="23">
        <v>681</v>
      </c>
    </row>
    <row r="686" spans="1:1" x14ac:dyDescent="0.25">
      <c r="A686" s="23">
        <v>682</v>
      </c>
    </row>
    <row r="687" spans="1:1" x14ac:dyDescent="0.25">
      <c r="A687" s="23">
        <v>683</v>
      </c>
    </row>
    <row r="688" spans="1:1" x14ac:dyDescent="0.25">
      <c r="A688" s="23">
        <v>684</v>
      </c>
    </row>
    <row r="689" spans="1:1" x14ac:dyDescent="0.25">
      <c r="A689" s="23">
        <v>685</v>
      </c>
    </row>
    <row r="690" spans="1:1" x14ac:dyDescent="0.25">
      <c r="A690" s="23">
        <v>686</v>
      </c>
    </row>
    <row r="691" spans="1:1" x14ac:dyDescent="0.25">
      <c r="A691" s="23">
        <v>687</v>
      </c>
    </row>
    <row r="692" spans="1:1" x14ac:dyDescent="0.25">
      <c r="A692" s="23">
        <v>688</v>
      </c>
    </row>
    <row r="693" spans="1:1" x14ac:dyDescent="0.25">
      <c r="A693" s="23">
        <v>689</v>
      </c>
    </row>
    <row r="694" spans="1:1" x14ac:dyDescent="0.25">
      <c r="A694" s="23">
        <v>690</v>
      </c>
    </row>
    <row r="695" spans="1:1" x14ac:dyDescent="0.25">
      <c r="A695" s="23">
        <v>691</v>
      </c>
    </row>
    <row r="696" spans="1:1" x14ac:dyDescent="0.25">
      <c r="A696" s="23">
        <v>692</v>
      </c>
    </row>
    <row r="697" spans="1:1" x14ac:dyDescent="0.25">
      <c r="A697" s="23">
        <v>693</v>
      </c>
    </row>
    <row r="698" spans="1:1" x14ac:dyDescent="0.25">
      <c r="A698" s="23">
        <v>694</v>
      </c>
    </row>
    <row r="699" spans="1:1" x14ac:dyDescent="0.25">
      <c r="A699" s="23">
        <v>695</v>
      </c>
    </row>
    <row r="700" spans="1:1" x14ac:dyDescent="0.25">
      <c r="A700" s="23">
        <v>696</v>
      </c>
    </row>
    <row r="701" spans="1:1" x14ac:dyDescent="0.25">
      <c r="A701" s="23">
        <v>697</v>
      </c>
    </row>
    <row r="702" spans="1:1" x14ac:dyDescent="0.25">
      <c r="A702" s="23">
        <v>698</v>
      </c>
    </row>
    <row r="703" spans="1:1" x14ac:dyDescent="0.25">
      <c r="A703" s="23">
        <v>699</v>
      </c>
    </row>
    <row r="704" spans="1:1" x14ac:dyDescent="0.25">
      <c r="A704" s="23">
        <v>700</v>
      </c>
    </row>
    <row r="705" spans="1:1" x14ac:dyDescent="0.25">
      <c r="A705" s="23">
        <v>701</v>
      </c>
    </row>
    <row r="706" spans="1:1" x14ac:dyDescent="0.25">
      <c r="A706" s="23">
        <v>702</v>
      </c>
    </row>
    <row r="707" spans="1:1" x14ac:dyDescent="0.25">
      <c r="A707" s="23">
        <v>703</v>
      </c>
    </row>
    <row r="708" spans="1:1" x14ac:dyDescent="0.25">
      <c r="A708" s="23">
        <v>704</v>
      </c>
    </row>
    <row r="709" spans="1:1" x14ac:dyDescent="0.25">
      <c r="A709" s="23">
        <v>705</v>
      </c>
    </row>
    <row r="710" spans="1:1" x14ac:dyDescent="0.25">
      <c r="A710" s="23">
        <v>706</v>
      </c>
    </row>
    <row r="711" spans="1:1" x14ac:dyDescent="0.25">
      <c r="A711" s="23">
        <v>707</v>
      </c>
    </row>
    <row r="712" spans="1:1" x14ac:dyDescent="0.25">
      <c r="A712" s="23">
        <v>708</v>
      </c>
    </row>
    <row r="713" spans="1:1" x14ac:dyDescent="0.25">
      <c r="A713" s="23">
        <v>709</v>
      </c>
    </row>
    <row r="714" spans="1:1" x14ac:dyDescent="0.25">
      <c r="A714" s="23">
        <v>710</v>
      </c>
    </row>
    <row r="715" spans="1:1" x14ac:dyDescent="0.25">
      <c r="A715" s="23">
        <v>711</v>
      </c>
    </row>
    <row r="716" spans="1:1" x14ac:dyDescent="0.25">
      <c r="A716" s="23">
        <v>712</v>
      </c>
    </row>
    <row r="717" spans="1:1" x14ac:dyDescent="0.25">
      <c r="A717" s="23">
        <v>713</v>
      </c>
    </row>
    <row r="718" spans="1:1" x14ac:dyDescent="0.25">
      <c r="A718" s="23">
        <v>714</v>
      </c>
    </row>
    <row r="719" spans="1:1" x14ac:dyDescent="0.25">
      <c r="A719" s="23">
        <v>715</v>
      </c>
    </row>
    <row r="720" spans="1:1" x14ac:dyDescent="0.25">
      <c r="A720" s="23">
        <v>716</v>
      </c>
    </row>
    <row r="721" spans="1:1" x14ac:dyDescent="0.25">
      <c r="A721" s="23">
        <v>717</v>
      </c>
    </row>
    <row r="722" spans="1:1" x14ac:dyDescent="0.25">
      <c r="A722" s="23">
        <v>718</v>
      </c>
    </row>
    <row r="723" spans="1:1" x14ac:dyDescent="0.25">
      <c r="A723" s="23">
        <v>719</v>
      </c>
    </row>
    <row r="724" spans="1:1" x14ac:dyDescent="0.25">
      <c r="A724" s="23">
        <v>720</v>
      </c>
    </row>
    <row r="725" spans="1:1" x14ac:dyDescent="0.25">
      <c r="A725" s="23">
        <v>721</v>
      </c>
    </row>
    <row r="726" spans="1:1" x14ac:dyDescent="0.25">
      <c r="A726" s="23">
        <v>722</v>
      </c>
    </row>
    <row r="727" spans="1:1" x14ac:dyDescent="0.25">
      <c r="A727" s="23">
        <v>723</v>
      </c>
    </row>
    <row r="728" spans="1:1" x14ac:dyDescent="0.25">
      <c r="A728" s="23">
        <v>724</v>
      </c>
    </row>
    <row r="729" spans="1:1" x14ac:dyDescent="0.25">
      <c r="A729" s="23">
        <v>725</v>
      </c>
    </row>
    <row r="730" spans="1:1" x14ac:dyDescent="0.25">
      <c r="A730" s="23">
        <v>726</v>
      </c>
    </row>
    <row r="731" spans="1:1" x14ac:dyDescent="0.25">
      <c r="A731" s="23">
        <v>727</v>
      </c>
    </row>
    <row r="732" spans="1:1" x14ac:dyDescent="0.25">
      <c r="A732" s="23">
        <v>728</v>
      </c>
    </row>
    <row r="733" spans="1:1" x14ac:dyDescent="0.25">
      <c r="A733" s="23">
        <v>729</v>
      </c>
    </row>
    <row r="734" spans="1:1" x14ac:dyDescent="0.25">
      <c r="A734" s="23">
        <v>730</v>
      </c>
    </row>
    <row r="735" spans="1:1" x14ac:dyDescent="0.25">
      <c r="A735" s="23">
        <v>731</v>
      </c>
    </row>
    <row r="736" spans="1:1" x14ac:dyDescent="0.25">
      <c r="A736" s="23">
        <v>732</v>
      </c>
    </row>
    <row r="737" spans="1:1" x14ac:dyDescent="0.25">
      <c r="A737" s="23">
        <v>733</v>
      </c>
    </row>
    <row r="738" spans="1:1" x14ac:dyDescent="0.25">
      <c r="A738" s="23">
        <v>734</v>
      </c>
    </row>
    <row r="739" spans="1:1" x14ac:dyDescent="0.25">
      <c r="A739" s="23">
        <v>735</v>
      </c>
    </row>
    <row r="740" spans="1:1" x14ac:dyDescent="0.25">
      <c r="A740" s="23">
        <v>736</v>
      </c>
    </row>
    <row r="741" spans="1:1" x14ac:dyDescent="0.25">
      <c r="A741" s="23">
        <v>737</v>
      </c>
    </row>
    <row r="742" spans="1:1" x14ac:dyDescent="0.25">
      <c r="A742" s="23">
        <v>738</v>
      </c>
    </row>
    <row r="743" spans="1:1" x14ac:dyDescent="0.25">
      <c r="A743" s="23">
        <v>739</v>
      </c>
    </row>
    <row r="744" spans="1:1" x14ac:dyDescent="0.25">
      <c r="A744" s="23">
        <v>740</v>
      </c>
    </row>
    <row r="745" spans="1:1" x14ac:dyDescent="0.25">
      <c r="A745" s="23">
        <v>741</v>
      </c>
    </row>
    <row r="746" spans="1:1" x14ac:dyDescent="0.25">
      <c r="A746" s="23">
        <v>742</v>
      </c>
    </row>
    <row r="747" spans="1:1" x14ac:dyDescent="0.25">
      <c r="A747" s="23">
        <v>743</v>
      </c>
    </row>
    <row r="748" spans="1:1" x14ac:dyDescent="0.25">
      <c r="A748" s="23">
        <v>744</v>
      </c>
    </row>
    <row r="749" spans="1:1" x14ac:dyDescent="0.25">
      <c r="A749" s="23">
        <v>745</v>
      </c>
    </row>
    <row r="750" spans="1:1" x14ac:dyDescent="0.25">
      <c r="A750" s="23">
        <v>746</v>
      </c>
    </row>
    <row r="751" spans="1:1" x14ac:dyDescent="0.25">
      <c r="A751" s="23">
        <v>747</v>
      </c>
    </row>
    <row r="752" spans="1:1" x14ac:dyDescent="0.25">
      <c r="A752" s="23">
        <v>748</v>
      </c>
    </row>
    <row r="753" spans="1:1" x14ac:dyDescent="0.25">
      <c r="A753" s="23">
        <v>749</v>
      </c>
    </row>
    <row r="754" spans="1:1" x14ac:dyDescent="0.25">
      <c r="A754" s="23">
        <v>750</v>
      </c>
    </row>
    <row r="755" spans="1:1" x14ac:dyDescent="0.25">
      <c r="A755" s="23">
        <v>751</v>
      </c>
    </row>
    <row r="756" spans="1:1" x14ac:dyDescent="0.25">
      <c r="A756" s="23">
        <v>752</v>
      </c>
    </row>
    <row r="757" spans="1:1" x14ac:dyDescent="0.25">
      <c r="A757" s="23">
        <v>753</v>
      </c>
    </row>
    <row r="758" spans="1:1" x14ac:dyDescent="0.25">
      <c r="A758" s="23">
        <v>754</v>
      </c>
    </row>
    <row r="759" spans="1:1" x14ac:dyDescent="0.25">
      <c r="A759" s="23">
        <v>755</v>
      </c>
    </row>
    <row r="760" spans="1:1" x14ac:dyDescent="0.25">
      <c r="A760" s="23">
        <v>756</v>
      </c>
    </row>
    <row r="761" spans="1:1" x14ac:dyDescent="0.25">
      <c r="A761" s="23">
        <v>757</v>
      </c>
    </row>
    <row r="762" spans="1:1" x14ac:dyDescent="0.25">
      <c r="A762" s="23">
        <v>758</v>
      </c>
    </row>
    <row r="763" spans="1:1" x14ac:dyDescent="0.25">
      <c r="A763" s="23">
        <v>759</v>
      </c>
    </row>
    <row r="764" spans="1:1" x14ac:dyDescent="0.25">
      <c r="A764" s="23">
        <v>760</v>
      </c>
    </row>
    <row r="765" spans="1:1" x14ac:dyDescent="0.25">
      <c r="A765" s="23">
        <v>761</v>
      </c>
    </row>
    <row r="766" spans="1:1" x14ac:dyDescent="0.25">
      <c r="A766" s="23">
        <v>762</v>
      </c>
    </row>
    <row r="767" spans="1:1" x14ac:dyDescent="0.25">
      <c r="A767" s="23">
        <v>763</v>
      </c>
    </row>
    <row r="768" spans="1:1" x14ac:dyDescent="0.25">
      <c r="A768" s="23">
        <v>764</v>
      </c>
    </row>
    <row r="769" spans="1:1" x14ac:dyDescent="0.25">
      <c r="A769" s="23">
        <v>765</v>
      </c>
    </row>
    <row r="770" spans="1:1" x14ac:dyDescent="0.25">
      <c r="A770" s="23">
        <v>766</v>
      </c>
    </row>
    <row r="771" spans="1:1" x14ac:dyDescent="0.25">
      <c r="A771" s="23">
        <v>767</v>
      </c>
    </row>
    <row r="772" spans="1:1" x14ac:dyDescent="0.25">
      <c r="A772" s="23">
        <v>768</v>
      </c>
    </row>
    <row r="773" spans="1:1" x14ac:dyDescent="0.25">
      <c r="A773" s="23">
        <v>769</v>
      </c>
    </row>
    <row r="774" spans="1:1" x14ac:dyDescent="0.25">
      <c r="A774" s="23">
        <v>770</v>
      </c>
    </row>
    <row r="775" spans="1:1" x14ac:dyDescent="0.25">
      <c r="A775" s="23">
        <v>771</v>
      </c>
    </row>
    <row r="776" spans="1:1" x14ac:dyDescent="0.25">
      <c r="A776" s="23">
        <v>772</v>
      </c>
    </row>
    <row r="777" spans="1:1" x14ac:dyDescent="0.25">
      <c r="A777" s="23">
        <v>773</v>
      </c>
    </row>
    <row r="778" spans="1:1" x14ac:dyDescent="0.25">
      <c r="A778" s="23">
        <v>774</v>
      </c>
    </row>
    <row r="779" spans="1:1" x14ac:dyDescent="0.25">
      <c r="A779" s="23">
        <v>775</v>
      </c>
    </row>
    <row r="780" spans="1:1" x14ac:dyDescent="0.25">
      <c r="A780" s="23">
        <v>776</v>
      </c>
    </row>
    <row r="781" spans="1:1" x14ac:dyDescent="0.25">
      <c r="A781" s="23">
        <v>777</v>
      </c>
    </row>
    <row r="782" spans="1:1" x14ac:dyDescent="0.25">
      <c r="A782" s="23">
        <v>778</v>
      </c>
    </row>
    <row r="783" spans="1:1" x14ac:dyDescent="0.25">
      <c r="A783" s="23">
        <v>779</v>
      </c>
    </row>
    <row r="784" spans="1:1" x14ac:dyDescent="0.25">
      <c r="A784" s="23">
        <v>780</v>
      </c>
    </row>
    <row r="785" spans="1:1" x14ac:dyDescent="0.25">
      <c r="A785" s="23">
        <v>781</v>
      </c>
    </row>
    <row r="786" spans="1:1" x14ac:dyDescent="0.25">
      <c r="A786" s="23">
        <v>782</v>
      </c>
    </row>
    <row r="787" spans="1:1" x14ac:dyDescent="0.25">
      <c r="A787" s="23">
        <v>783</v>
      </c>
    </row>
    <row r="788" spans="1:1" x14ac:dyDescent="0.25">
      <c r="A788" s="23">
        <v>784</v>
      </c>
    </row>
    <row r="789" spans="1:1" x14ac:dyDescent="0.25">
      <c r="A789" s="23">
        <v>785</v>
      </c>
    </row>
    <row r="790" spans="1:1" x14ac:dyDescent="0.25">
      <c r="A790" s="23">
        <v>786</v>
      </c>
    </row>
    <row r="791" spans="1:1" x14ac:dyDescent="0.25">
      <c r="A791" s="23">
        <v>787</v>
      </c>
    </row>
    <row r="792" spans="1:1" x14ac:dyDescent="0.25">
      <c r="A792" s="23">
        <v>788</v>
      </c>
    </row>
    <row r="793" spans="1:1" x14ac:dyDescent="0.25">
      <c r="A793" s="23">
        <v>789</v>
      </c>
    </row>
    <row r="794" spans="1:1" x14ac:dyDescent="0.25">
      <c r="A794" s="23">
        <v>790</v>
      </c>
    </row>
    <row r="795" spans="1:1" x14ac:dyDescent="0.25">
      <c r="A795" s="23">
        <v>791</v>
      </c>
    </row>
    <row r="796" spans="1:1" x14ac:dyDescent="0.25">
      <c r="A796" s="23">
        <v>792</v>
      </c>
    </row>
    <row r="797" spans="1:1" x14ac:dyDescent="0.25">
      <c r="A797" s="23">
        <v>793</v>
      </c>
    </row>
    <row r="798" spans="1:1" x14ac:dyDescent="0.25">
      <c r="A798" s="23">
        <v>794</v>
      </c>
    </row>
    <row r="799" spans="1:1" x14ac:dyDescent="0.25">
      <c r="A799" s="23">
        <v>795</v>
      </c>
    </row>
    <row r="800" spans="1:1" x14ac:dyDescent="0.25">
      <c r="A800" s="23">
        <v>796</v>
      </c>
    </row>
    <row r="801" spans="1:1" x14ac:dyDescent="0.25">
      <c r="A801" s="23">
        <v>797</v>
      </c>
    </row>
    <row r="802" spans="1:1" x14ac:dyDescent="0.25">
      <c r="A802" s="23">
        <v>798</v>
      </c>
    </row>
    <row r="803" spans="1:1" x14ac:dyDescent="0.25">
      <c r="A803" s="23">
        <v>799</v>
      </c>
    </row>
    <row r="804" spans="1:1" x14ac:dyDescent="0.25">
      <c r="A804" s="23">
        <v>800</v>
      </c>
    </row>
    <row r="805" spans="1:1" x14ac:dyDescent="0.25">
      <c r="A805" s="23">
        <v>801</v>
      </c>
    </row>
    <row r="806" spans="1:1" x14ac:dyDescent="0.25">
      <c r="A806" s="23">
        <v>802</v>
      </c>
    </row>
    <row r="807" spans="1:1" x14ac:dyDescent="0.25">
      <c r="A807" s="23">
        <v>803</v>
      </c>
    </row>
    <row r="808" spans="1:1" x14ac:dyDescent="0.25">
      <c r="A808" s="23">
        <v>804</v>
      </c>
    </row>
    <row r="809" spans="1:1" x14ac:dyDescent="0.25">
      <c r="A809" s="23">
        <v>805</v>
      </c>
    </row>
    <row r="810" spans="1:1" x14ac:dyDescent="0.25">
      <c r="A810" s="23">
        <v>806</v>
      </c>
    </row>
    <row r="811" spans="1:1" x14ac:dyDescent="0.25">
      <c r="A811" s="23">
        <v>807</v>
      </c>
    </row>
    <row r="812" spans="1:1" x14ac:dyDescent="0.25">
      <c r="A812" s="23">
        <v>808</v>
      </c>
    </row>
    <row r="813" spans="1:1" x14ac:dyDescent="0.25">
      <c r="A813" s="23">
        <v>809</v>
      </c>
    </row>
    <row r="814" spans="1:1" x14ac:dyDescent="0.25">
      <c r="A814" s="23">
        <v>810</v>
      </c>
    </row>
    <row r="815" spans="1:1" x14ac:dyDescent="0.25">
      <c r="A815" s="23">
        <v>811</v>
      </c>
    </row>
    <row r="816" spans="1:1" x14ac:dyDescent="0.25">
      <c r="A816" s="23">
        <v>812</v>
      </c>
    </row>
    <row r="817" spans="1:1" x14ac:dyDescent="0.25">
      <c r="A817" s="23">
        <v>813</v>
      </c>
    </row>
    <row r="818" spans="1:1" x14ac:dyDescent="0.25">
      <c r="A818" s="23">
        <v>814</v>
      </c>
    </row>
    <row r="819" spans="1:1" x14ac:dyDescent="0.25">
      <c r="A819" s="23">
        <v>815</v>
      </c>
    </row>
    <row r="820" spans="1:1" x14ac:dyDescent="0.25">
      <c r="A820" s="23">
        <v>816</v>
      </c>
    </row>
    <row r="821" spans="1:1" x14ac:dyDescent="0.25">
      <c r="A821" s="23">
        <v>817</v>
      </c>
    </row>
    <row r="822" spans="1:1" x14ac:dyDescent="0.25">
      <c r="A822" s="23">
        <v>818</v>
      </c>
    </row>
    <row r="823" spans="1:1" x14ac:dyDescent="0.25">
      <c r="A823" s="23">
        <v>819</v>
      </c>
    </row>
    <row r="824" spans="1:1" x14ac:dyDescent="0.25">
      <c r="A824" s="23">
        <v>820</v>
      </c>
    </row>
    <row r="825" spans="1:1" x14ac:dyDescent="0.25">
      <c r="A825" s="23">
        <v>821</v>
      </c>
    </row>
    <row r="826" spans="1:1" x14ac:dyDescent="0.25">
      <c r="A826" s="23">
        <v>822</v>
      </c>
    </row>
    <row r="827" spans="1:1" x14ac:dyDescent="0.25">
      <c r="A827" s="23">
        <v>823</v>
      </c>
    </row>
    <row r="828" spans="1:1" x14ac:dyDescent="0.25">
      <c r="A828" s="23">
        <v>824</v>
      </c>
    </row>
    <row r="829" spans="1:1" x14ac:dyDescent="0.25">
      <c r="A829" s="23">
        <v>825</v>
      </c>
    </row>
    <row r="830" spans="1:1" x14ac:dyDescent="0.25">
      <c r="A830" s="23">
        <v>826</v>
      </c>
    </row>
    <row r="831" spans="1:1" x14ac:dyDescent="0.25">
      <c r="A831" s="23">
        <v>827</v>
      </c>
    </row>
    <row r="832" spans="1:1" x14ac:dyDescent="0.25">
      <c r="A832" s="23">
        <v>828</v>
      </c>
    </row>
    <row r="833" spans="1:1" x14ac:dyDescent="0.25">
      <c r="A833" s="23">
        <v>829</v>
      </c>
    </row>
    <row r="834" spans="1:1" x14ac:dyDescent="0.25">
      <c r="A834" s="23">
        <v>830</v>
      </c>
    </row>
    <row r="835" spans="1:1" x14ac:dyDescent="0.25">
      <c r="A835" s="23">
        <v>831</v>
      </c>
    </row>
    <row r="836" spans="1:1" x14ac:dyDescent="0.25">
      <c r="A836" s="23">
        <v>832</v>
      </c>
    </row>
    <row r="837" spans="1:1" x14ac:dyDescent="0.25">
      <c r="A837" s="23">
        <v>833</v>
      </c>
    </row>
    <row r="838" spans="1:1" x14ac:dyDescent="0.25">
      <c r="A838" s="23">
        <v>834</v>
      </c>
    </row>
    <row r="839" spans="1:1" x14ac:dyDescent="0.25">
      <c r="A839" s="23">
        <v>835</v>
      </c>
    </row>
    <row r="840" spans="1:1" x14ac:dyDescent="0.25">
      <c r="A840" s="23">
        <v>836</v>
      </c>
    </row>
    <row r="841" spans="1:1" x14ac:dyDescent="0.25">
      <c r="A841" s="23">
        <v>837</v>
      </c>
    </row>
    <row r="842" spans="1:1" x14ac:dyDescent="0.25">
      <c r="A842" s="23">
        <v>838</v>
      </c>
    </row>
    <row r="843" spans="1:1" x14ac:dyDescent="0.25">
      <c r="A843" s="23">
        <v>839</v>
      </c>
    </row>
    <row r="844" spans="1:1" x14ac:dyDescent="0.25">
      <c r="A844" s="23">
        <v>840</v>
      </c>
    </row>
    <row r="845" spans="1:1" x14ac:dyDescent="0.25">
      <c r="A845" s="23">
        <v>841</v>
      </c>
    </row>
    <row r="846" spans="1:1" x14ac:dyDescent="0.25">
      <c r="A846" s="23">
        <v>842</v>
      </c>
    </row>
    <row r="847" spans="1:1" x14ac:dyDescent="0.25">
      <c r="A847" s="23">
        <v>843</v>
      </c>
    </row>
    <row r="848" spans="1:1" x14ac:dyDescent="0.25">
      <c r="A848" s="23">
        <v>844</v>
      </c>
    </row>
    <row r="849" spans="1:1" x14ac:dyDescent="0.25">
      <c r="A849" s="23">
        <v>845</v>
      </c>
    </row>
    <row r="850" spans="1:1" x14ac:dyDescent="0.25">
      <c r="A850" s="23">
        <v>846</v>
      </c>
    </row>
    <row r="851" spans="1:1" x14ac:dyDescent="0.25">
      <c r="A851" s="23">
        <v>847</v>
      </c>
    </row>
    <row r="852" spans="1:1" x14ac:dyDescent="0.25">
      <c r="A852" s="23">
        <v>848</v>
      </c>
    </row>
    <row r="853" spans="1:1" x14ac:dyDescent="0.25">
      <c r="A853" s="23">
        <v>849</v>
      </c>
    </row>
    <row r="854" spans="1:1" x14ac:dyDescent="0.25">
      <c r="A854" s="23">
        <v>850</v>
      </c>
    </row>
    <row r="855" spans="1:1" x14ac:dyDescent="0.25">
      <c r="A855" s="23">
        <v>851</v>
      </c>
    </row>
    <row r="856" spans="1:1" x14ac:dyDescent="0.25">
      <c r="A856" s="23">
        <v>852</v>
      </c>
    </row>
    <row r="857" spans="1:1" x14ac:dyDescent="0.25">
      <c r="A857" s="23">
        <v>853</v>
      </c>
    </row>
    <row r="858" spans="1:1" x14ac:dyDescent="0.25">
      <c r="A858" s="23">
        <v>854</v>
      </c>
    </row>
    <row r="859" spans="1:1" x14ac:dyDescent="0.25">
      <c r="A859" s="23">
        <v>855</v>
      </c>
    </row>
    <row r="860" spans="1:1" x14ac:dyDescent="0.25">
      <c r="A860" s="23">
        <v>856</v>
      </c>
    </row>
    <row r="861" spans="1:1" x14ac:dyDescent="0.25">
      <c r="A861" s="23">
        <v>857</v>
      </c>
    </row>
    <row r="862" spans="1:1" x14ac:dyDescent="0.25">
      <c r="A862" s="23">
        <v>858</v>
      </c>
    </row>
    <row r="863" spans="1:1" x14ac:dyDescent="0.25">
      <c r="A863" s="23">
        <v>859</v>
      </c>
    </row>
    <row r="864" spans="1:1" x14ac:dyDescent="0.25">
      <c r="A864" s="23">
        <v>860</v>
      </c>
    </row>
    <row r="865" spans="1:1" x14ac:dyDescent="0.25">
      <c r="A865" s="23">
        <v>861</v>
      </c>
    </row>
    <row r="866" spans="1:1" x14ac:dyDescent="0.25">
      <c r="A866" s="23">
        <v>862</v>
      </c>
    </row>
    <row r="867" spans="1:1" x14ac:dyDescent="0.25">
      <c r="A867" s="23">
        <v>863</v>
      </c>
    </row>
    <row r="868" spans="1:1" x14ac:dyDescent="0.25">
      <c r="A868" s="23">
        <v>864</v>
      </c>
    </row>
    <row r="869" spans="1:1" x14ac:dyDescent="0.25">
      <c r="A869" s="23">
        <v>865</v>
      </c>
    </row>
    <row r="870" spans="1:1" x14ac:dyDescent="0.25">
      <c r="A870" s="23">
        <v>866</v>
      </c>
    </row>
    <row r="871" spans="1:1" x14ac:dyDescent="0.25">
      <c r="A871" s="23">
        <v>867</v>
      </c>
    </row>
    <row r="872" spans="1:1" x14ac:dyDescent="0.25">
      <c r="A872" s="23">
        <v>868</v>
      </c>
    </row>
    <row r="873" spans="1:1" x14ac:dyDescent="0.25">
      <c r="A873" s="23">
        <v>869</v>
      </c>
    </row>
    <row r="874" spans="1:1" x14ac:dyDescent="0.25">
      <c r="A874" s="23">
        <v>870</v>
      </c>
    </row>
    <row r="875" spans="1:1" x14ac:dyDescent="0.25">
      <c r="A875" s="23">
        <v>871</v>
      </c>
    </row>
    <row r="876" spans="1:1" x14ac:dyDescent="0.25">
      <c r="A876" s="23">
        <v>872</v>
      </c>
    </row>
    <row r="877" spans="1:1" x14ac:dyDescent="0.25">
      <c r="A877" s="23">
        <v>873</v>
      </c>
    </row>
    <row r="878" spans="1:1" x14ac:dyDescent="0.25">
      <c r="A878" s="23">
        <v>874</v>
      </c>
    </row>
    <row r="879" spans="1:1" x14ac:dyDescent="0.25">
      <c r="A879" s="23">
        <v>875</v>
      </c>
    </row>
    <row r="880" spans="1:1" x14ac:dyDescent="0.25">
      <c r="A880" s="23">
        <v>876</v>
      </c>
    </row>
    <row r="881" spans="1:1" x14ac:dyDescent="0.25">
      <c r="A881" s="23">
        <v>877</v>
      </c>
    </row>
    <row r="882" spans="1:1" x14ac:dyDescent="0.25">
      <c r="A882" s="23">
        <v>878</v>
      </c>
    </row>
    <row r="883" spans="1:1" x14ac:dyDescent="0.25">
      <c r="A883" s="23">
        <v>879</v>
      </c>
    </row>
    <row r="884" spans="1:1" x14ac:dyDescent="0.25">
      <c r="A884" s="23">
        <v>880</v>
      </c>
    </row>
    <row r="885" spans="1:1" x14ac:dyDescent="0.25">
      <c r="A885" s="23">
        <v>881</v>
      </c>
    </row>
    <row r="886" spans="1:1" x14ac:dyDescent="0.25">
      <c r="A886" s="23">
        <v>882</v>
      </c>
    </row>
    <row r="887" spans="1:1" x14ac:dyDescent="0.25">
      <c r="A887" s="23">
        <v>883</v>
      </c>
    </row>
    <row r="888" spans="1:1" x14ac:dyDescent="0.25">
      <c r="A888" s="23">
        <v>884</v>
      </c>
    </row>
    <row r="889" spans="1:1" x14ac:dyDescent="0.25">
      <c r="A889" s="23">
        <v>885</v>
      </c>
    </row>
    <row r="890" spans="1:1" x14ac:dyDescent="0.25">
      <c r="A890" s="23">
        <v>886</v>
      </c>
    </row>
    <row r="891" spans="1:1" x14ac:dyDescent="0.25">
      <c r="A891" s="23">
        <v>887</v>
      </c>
    </row>
    <row r="892" spans="1:1" x14ac:dyDescent="0.25">
      <c r="A892" s="23">
        <v>888</v>
      </c>
    </row>
    <row r="893" spans="1:1" x14ac:dyDescent="0.25">
      <c r="A893" s="23">
        <v>889</v>
      </c>
    </row>
    <row r="894" spans="1:1" x14ac:dyDescent="0.25">
      <c r="A894" s="23">
        <v>890</v>
      </c>
    </row>
    <row r="895" spans="1:1" x14ac:dyDescent="0.25">
      <c r="A895" s="23">
        <v>891</v>
      </c>
    </row>
    <row r="896" spans="1:1" x14ac:dyDescent="0.25">
      <c r="A896" s="23">
        <v>892</v>
      </c>
    </row>
    <row r="897" spans="1:1" x14ac:dyDescent="0.25">
      <c r="A897" s="23">
        <v>893</v>
      </c>
    </row>
    <row r="898" spans="1:1" x14ac:dyDescent="0.25">
      <c r="A898" s="23">
        <v>894</v>
      </c>
    </row>
    <row r="899" spans="1:1" x14ac:dyDescent="0.25">
      <c r="A899" s="23">
        <v>895</v>
      </c>
    </row>
    <row r="900" spans="1:1" x14ac:dyDescent="0.25">
      <c r="A900" s="23">
        <v>896</v>
      </c>
    </row>
    <row r="901" spans="1:1" x14ac:dyDescent="0.25">
      <c r="A901" s="23">
        <v>897</v>
      </c>
    </row>
    <row r="902" spans="1:1" x14ac:dyDescent="0.25">
      <c r="A902" s="23">
        <v>898</v>
      </c>
    </row>
    <row r="903" spans="1:1" x14ac:dyDescent="0.25">
      <c r="A903" s="23">
        <v>899</v>
      </c>
    </row>
    <row r="904" spans="1:1" x14ac:dyDescent="0.25">
      <c r="A904" s="23">
        <v>900</v>
      </c>
    </row>
    <row r="905" spans="1:1" x14ac:dyDescent="0.25">
      <c r="A905" s="23">
        <v>901</v>
      </c>
    </row>
    <row r="906" spans="1:1" x14ac:dyDescent="0.25">
      <c r="A906" s="23">
        <v>902</v>
      </c>
    </row>
    <row r="907" spans="1:1" x14ac:dyDescent="0.25">
      <c r="A907" s="23">
        <v>903</v>
      </c>
    </row>
    <row r="908" spans="1:1" x14ac:dyDescent="0.25">
      <c r="A908" s="23">
        <v>904</v>
      </c>
    </row>
    <row r="909" spans="1:1" x14ac:dyDescent="0.25">
      <c r="A909" s="23">
        <v>905</v>
      </c>
    </row>
    <row r="910" spans="1:1" x14ac:dyDescent="0.25">
      <c r="A910" s="23">
        <v>906</v>
      </c>
    </row>
    <row r="911" spans="1:1" x14ac:dyDescent="0.25">
      <c r="A911" s="23">
        <v>907</v>
      </c>
    </row>
    <row r="912" spans="1:1" x14ac:dyDescent="0.25">
      <c r="A912" s="23">
        <v>908</v>
      </c>
    </row>
    <row r="913" spans="1:1" x14ac:dyDescent="0.25">
      <c r="A913" s="23">
        <v>909</v>
      </c>
    </row>
    <row r="914" spans="1:1" x14ac:dyDescent="0.25">
      <c r="A914" s="23">
        <v>910</v>
      </c>
    </row>
    <row r="915" spans="1:1" x14ac:dyDescent="0.25">
      <c r="A915" s="23">
        <v>911</v>
      </c>
    </row>
    <row r="916" spans="1:1" x14ac:dyDescent="0.25">
      <c r="A916" s="23">
        <v>912</v>
      </c>
    </row>
    <row r="917" spans="1:1" x14ac:dyDescent="0.25">
      <c r="A917" s="23">
        <v>913</v>
      </c>
    </row>
    <row r="918" spans="1:1" x14ac:dyDescent="0.25">
      <c r="A918" s="23">
        <v>914</v>
      </c>
    </row>
    <row r="919" spans="1:1" x14ac:dyDescent="0.25">
      <c r="A919" s="23">
        <v>915</v>
      </c>
    </row>
    <row r="920" spans="1:1" x14ac:dyDescent="0.25">
      <c r="A920" s="23">
        <v>916</v>
      </c>
    </row>
    <row r="921" spans="1:1" x14ac:dyDescent="0.25">
      <c r="A921" s="23">
        <v>917</v>
      </c>
    </row>
    <row r="922" spans="1:1" x14ac:dyDescent="0.25">
      <c r="A922" s="23">
        <v>918</v>
      </c>
    </row>
    <row r="923" spans="1:1" x14ac:dyDescent="0.25">
      <c r="A923" s="23">
        <v>919</v>
      </c>
    </row>
    <row r="924" spans="1:1" x14ac:dyDescent="0.25">
      <c r="A924" s="23">
        <v>920</v>
      </c>
    </row>
    <row r="925" spans="1:1" x14ac:dyDescent="0.25">
      <c r="A925" s="23">
        <v>921</v>
      </c>
    </row>
    <row r="926" spans="1:1" x14ac:dyDescent="0.25">
      <c r="A926" s="23">
        <v>922</v>
      </c>
    </row>
    <row r="927" spans="1:1" x14ac:dyDescent="0.25">
      <c r="A927" s="23">
        <v>923</v>
      </c>
    </row>
    <row r="928" spans="1:1" x14ac:dyDescent="0.25">
      <c r="A928" s="23">
        <v>924</v>
      </c>
    </row>
    <row r="929" spans="1:1" x14ac:dyDescent="0.25">
      <c r="A929" s="23">
        <v>925</v>
      </c>
    </row>
    <row r="930" spans="1:1" x14ac:dyDescent="0.25">
      <c r="A930" s="23">
        <v>926</v>
      </c>
    </row>
    <row r="931" spans="1:1" x14ac:dyDescent="0.25">
      <c r="A931" s="23">
        <v>927</v>
      </c>
    </row>
    <row r="932" spans="1:1" x14ac:dyDescent="0.25">
      <c r="A932" s="23">
        <v>928</v>
      </c>
    </row>
    <row r="933" spans="1:1" x14ac:dyDescent="0.25">
      <c r="A933" s="23">
        <v>929</v>
      </c>
    </row>
    <row r="934" spans="1:1" x14ac:dyDescent="0.25">
      <c r="A934" s="23">
        <v>930</v>
      </c>
    </row>
    <row r="935" spans="1:1" x14ac:dyDescent="0.25">
      <c r="A935" s="23">
        <v>931</v>
      </c>
    </row>
    <row r="936" spans="1:1" x14ac:dyDescent="0.25">
      <c r="A936" s="23">
        <v>932</v>
      </c>
    </row>
    <row r="937" spans="1:1" x14ac:dyDescent="0.25">
      <c r="A937" s="23">
        <v>933</v>
      </c>
    </row>
    <row r="938" spans="1:1" x14ac:dyDescent="0.25">
      <c r="A938" s="23">
        <v>934</v>
      </c>
    </row>
    <row r="939" spans="1:1" x14ac:dyDescent="0.25">
      <c r="A939" s="23">
        <v>935</v>
      </c>
    </row>
    <row r="940" spans="1:1" x14ac:dyDescent="0.25">
      <c r="A940" s="23">
        <v>936</v>
      </c>
    </row>
    <row r="941" spans="1:1" x14ac:dyDescent="0.25">
      <c r="A941" s="23">
        <v>937</v>
      </c>
    </row>
    <row r="942" spans="1:1" x14ac:dyDescent="0.25">
      <c r="A942" s="23">
        <v>938</v>
      </c>
    </row>
    <row r="943" spans="1:1" x14ac:dyDescent="0.25">
      <c r="A943" s="23">
        <v>939</v>
      </c>
    </row>
    <row r="944" spans="1:1" x14ac:dyDescent="0.25">
      <c r="A944" s="23">
        <v>940</v>
      </c>
    </row>
    <row r="945" spans="1:1" x14ac:dyDescent="0.25">
      <c r="A945" s="23">
        <v>941</v>
      </c>
    </row>
    <row r="946" spans="1:1" x14ac:dyDescent="0.25">
      <c r="A946" s="23">
        <v>942</v>
      </c>
    </row>
    <row r="947" spans="1:1" x14ac:dyDescent="0.25">
      <c r="A947" s="23">
        <v>943</v>
      </c>
    </row>
    <row r="948" spans="1:1" x14ac:dyDescent="0.25">
      <c r="A948" s="23">
        <v>944</v>
      </c>
    </row>
    <row r="949" spans="1:1" x14ac:dyDescent="0.25">
      <c r="A949" s="23">
        <v>945</v>
      </c>
    </row>
    <row r="950" spans="1:1" x14ac:dyDescent="0.25">
      <c r="A950" s="23">
        <v>946</v>
      </c>
    </row>
    <row r="951" spans="1:1" x14ac:dyDescent="0.25">
      <c r="A951" s="23">
        <v>947</v>
      </c>
    </row>
    <row r="952" spans="1:1" x14ac:dyDescent="0.25">
      <c r="A952" s="23">
        <v>948</v>
      </c>
    </row>
    <row r="953" spans="1:1" x14ac:dyDescent="0.25">
      <c r="A953" s="23">
        <v>949</v>
      </c>
    </row>
    <row r="954" spans="1:1" x14ac:dyDescent="0.25">
      <c r="A954" s="23">
        <v>950</v>
      </c>
    </row>
    <row r="955" spans="1:1" x14ac:dyDescent="0.25">
      <c r="A955" s="23">
        <v>951</v>
      </c>
    </row>
    <row r="956" spans="1:1" x14ac:dyDescent="0.25">
      <c r="A956" s="23">
        <v>952</v>
      </c>
    </row>
    <row r="957" spans="1:1" x14ac:dyDescent="0.25">
      <c r="A957" s="23">
        <v>953</v>
      </c>
    </row>
    <row r="958" spans="1:1" x14ac:dyDescent="0.25">
      <c r="A958" s="23">
        <v>954</v>
      </c>
    </row>
    <row r="959" spans="1:1" x14ac:dyDescent="0.25">
      <c r="A959" s="23">
        <v>955</v>
      </c>
    </row>
    <row r="960" spans="1:1" x14ac:dyDescent="0.25">
      <c r="A960" s="23">
        <v>956</v>
      </c>
    </row>
    <row r="961" spans="1:1" x14ac:dyDescent="0.25">
      <c r="A961" s="23">
        <v>957</v>
      </c>
    </row>
    <row r="962" spans="1:1" x14ac:dyDescent="0.25">
      <c r="A962" s="23">
        <v>958</v>
      </c>
    </row>
    <row r="963" spans="1:1" x14ac:dyDescent="0.25">
      <c r="A963" s="23">
        <v>959</v>
      </c>
    </row>
    <row r="964" spans="1:1" x14ac:dyDescent="0.25">
      <c r="A964" s="23">
        <v>960</v>
      </c>
    </row>
    <row r="965" spans="1:1" x14ac:dyDescent="0.25">
      <c r="A965" s="23">
        <v>961</v>
      </c>
    </row>
    <row r="966" spans="1:1" x14ac:dyDescent="0.25">
      <c r="A966" s="23">
        <v>962</v>
      </c>
    </row>
    <row r="967" spans="1:1" x14ac:dyDescent="0.25">
      <c r="A967" s="23">
        <v>963</v>
      </c>
    </row>
    <row r="968" spans="1:1" x14ac:dyDescent="0.25">
      <c r="A968" s="23">
        <v>964</v>
      </c>
    </row>
    <row r="969" spans="1:1" x14ac:dyDescent="0.25">
      <c r="A969" s="23">
        <v>965</v>
      </c>
    </row>
    <row r="970" spans="1:1" x14ac:dyDescent="0.25">
      <c r="A970" s="23">
        <v>966</v>
      </c>
    </row>
    <row r="971" spans="1:1" x14ac:dyDescent="0.25">
      <c r="A971" s="23">
        <v>967</v>
      </c>
    </row>
    <row r="972" spans="1:1" x14ac:dyDescent="0.25">
      <c r="A972" s="23">
        <v>968</v>
      </c>
    </row>
    <row r="973" spans="1:1" x14ac:dyDescent="0.25">
      <c r="A973" s="23">
        <v>969</v>
      </c>
    </row>
    <row r="974" spans="1:1" x14ac:dyDescent="0.25">
      <c r="A974" s="23">
        <v>970</v>
      </c>
    </row>
    <row r="975" spans="1:1" x14ac:dyDescent="0.25">
      <c r="A975" s="23">
        <v>971</v>
      </c>
    </row>
    <row r="976" spans="1:1" x14ac:dyDescent="0.25">
      <c r="A976" s="23">
        <v>972</v>
      </c>
    </row>
    <row r="977" spans="1:1" x14ac:dyDescent="0.25">
      <c r="A977" s="23">
        <v>973</v>
      </c>
    </row>
    <row r="978" spans="1:1" x14ac:dyDescent="0.25">
      <c r="A978" s="23">
        <v>974</v>
      </c>
    </row>
    <row r="979" spans="1:1" x14ac:dyDescent="0.25">
      <c r="A979" s="23">
        <v>975</v>
      </c>
    </row>
    <row r="980" spans="1:1" x14ac:dyDescent="0.25">
      <c r="A980" s="23">
        <v>976</v>
      </c>
    </row>
    <row r="981" spans="1:1" x14ac:dyDescent="0.25">
      <c r="A981" s="23">
        <v>977</v>
      </c>
    </row>
    <row r="982" spans="1:1" x14ac:dyDescent="0.25">
      <c r="A982" s="23">
        <v>978</v>
      </c>
    </row>
    <row r="983" spans="1:1" x14ac:dyDescent="0.25">
      <c r="A983" s="23">
        <v>979</v>
      </c>
    </row>
    <row r="984" spans="1:1" x14ac:dyDescent="0.25">
      <c r="A984" s="23">
        <v>980</v>
      </c>
    </row>
    <row r="985" spans="1:1" x14ac:dyDescent="0.25">
      <c r="A985" s="23">
        <v>981</v>
      </c>
    </row>
    <row r="986" spans="1:1" x14ac:dyDescent="0.25">
      <c r="A986" s="23">
        <v>982</v>
      </c>
    </row>
    <row r="987" spans="1:1" x14ac:dyDescent="0.25">
      <c r="A987" s="23">
        <v>983</v>
      </c>
    </row>
    <row r="988" spans="1:1" x14ac:dyDescent="0.25">
      <c r="A988" s="23">
        <v>984</v>
      </c>
    </row>
    <row r="989" spans="1:1" x14ac:dyDescent="0.25">
      <c r="A989" s="23">
        <v>985</v>
      </c>
    </row>
    <row r="990" spans="1:1" x14ac:dyDescent="0.25">
      <c r="A990" s="23">
        <v>986</v>
      </c>
    </row>
    <row r="991" spans="1:1" x14ac:dyDescent="0.25">
      <c r="A991" s="23">
        <v>987</v>
      </c>
    </row>
    <row r="992" spans="1:1" x14ac:dyDescent="0.25">
      <c r="A992" s="23">
        <v>988</v>
      </c>
    </row>
    <row r="993" spans="1:1" x14ac:dyDescent="0.25">
      <c r="A993" s="23">
        <v>989</v>
      </c>
    </row>
    <row r="994" spans="1:1" x14ac:dyDescent="0.25">
      <c r="A994" s="23">
        <v>990</v>
      </c>
    </row>
    <row r="995" spans="1:1" x14ac:dyDescent="0.25">
      <c r="A995" s="23">
        <v>991</v>
      </c>
    </row>
    <row r="996" spans="1:1" x14ac:dyDescent="0.25">
      <c r="A996" s="23">
        <v>992</v>
      </c>
    </row>
    <row r="997" spans="1:1" x14ac:dyDescent="0.25">
      <c r="A997" s="23">
        <v>993</v>
      </c>
    </row>
    <row r="998" spans="1:1" x14ac:dyDescent="0.25">
      <c r="A998" s="23">
        <v>994</v>
      </c>
    </row>
    <row r="999" spans="1:1" x14ac:dyDescent="0.25">
      <c r="A999" s="23">
        <v>995</v>
      </c>
    </row>
    <row r="1000" spans="1:1" x14ac:dyDescent="0.25">
      <c r="A1000" s="23">
        <v>996</v>
      </c>
    </row>
    <row r="1001" spans="1:1" x14ac:dyDescent="0.25">
      <c r="A1001" s="23">
        <v>997</v>
      </c>
    </row>
    <row r="1002" spans="1:1" x14ac:dyDescent="0.25">
      <c r="A1002" s="23">
        <v>998</v>
      </c>
    </row>
    <row r="1003" spans="1:1" x14ac:dyDescent="0.25">
      <c r="A1003" s="23">
        <v>999</v>
      </c>
    </row>
    <row r="1004" spans="1:1" x14ac:dyDescent="0.25">
      <c r="A1004" s="23">
        <v>1000</v>
      </c>
    </row>
  </sheetData>
  <sheetProtection sheet="1" objects="1" scenarios="1"/>
  <mergeCells count="1">
    <mergeCell ref="A1:A3"/>
  </mergeCells>
  <dataValidations count="1">
    <dataValidation allowBlank="1" showInputMessage="1" showErrorMessage="1" prompt="Coloque todos los flujos que sean necesarios, hay hasta mil (Periodos),pero si requiere más, solo expanda el numero hasta donde lo necesite._x000a__x000a_No poner datos debajo de los flujos" sqref="B4" xr:uid="{6CF9D079-7BD4-4FC3-950E-5334BBAAE88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otón1_Haga_clic_en">
                <anchor moveWithCells="1" sizeWithCells="1">
                  <from>
                    <xdr:col>2</xdr:col>
                    <xdr:colOff>123825</xdr:colOff>
                    <xdr:row>0</xdr:row>
                    <xdr:rowOff>247650</xdr:rowOff>
                  </from>
                  <to>
                    <xdr:col>2</xdr:col>
                    <xdr:colOff>971550</xdr:colOff>
                    <xdr:row>0</xdr:row>
                    <xdr:rowOff>542925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PORTADA</vt:lpstr>
      <vt:lpstr>Minicaso Cap.4 </vt:lpstr>
      <vt:lpstr>Minicaso Cap.5</vt:lpstr>
      <vt:lpstr>Calculadora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zamora</dc:creator>
  <cp:lastModifiedBy>hp14bs</cp:lastModifiedBy>
  <dcterms:created xsi:type="dcterms:W3CDTF">2021-03-09T02:58:05Z</dcterms:created>
  <dcterms:modified xsi:type="dcterms:W3CDTF">2021-03-11T23:49:00Z</dcterms:modified>
</cp:coreProperties>
</file>